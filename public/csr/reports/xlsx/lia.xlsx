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-1 INV01_Summary" sheetId="2" state="visible" r:id="rId2"/>
    <sheet xmlns:r="http://schemas.openxmlformats.org/officeDocument/2006/relationships" name="1-2 INV01_Data" sheetId="3" state="visible" r:id="rId3"/>
    <sheet xmlns:r="http://schemas.openxmlformats.org/officeDocument/2006/relationships" name="2-1 PUR04_Summary" sheetId="4" state="visible" r:id="rId4"/>
    <sheet xmlns:r="http://schemas.openxmlformats.org/officeDocument/2006/relationships" name="2-2 PUR04_Data" sheetId="5" state="visible" r:id="rId5"/>
  </sheets>
  <definedNames>
    <definedName name="_xlnm._FilterDatabase" localSheetId="1" hidden="1">'1-1 INV01_Summary'!$A$5:$S$14</definedName>
    <definedName name="_xlnm._FilterDatabase" localSheetId="2" hidden="1">'1-2 INV01_Data'!$A$5:$Z$7</definedName>
    <definedName name="_xlnm._FilterDatabase" localSheetId="3" hidden="1">'2-1 PUR04_Summary'!$A$5:$Q$16</definedName>
    <definedName name="_xlnm._FilterDatabase" localSheetId="4" hidden="1">'2-2 PUR04_Data'!$A$5:$V$6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62C6"/>
      <sz val="12"/>
    </font>
    <font>
      <color rgb="00333333"/>
      <sz val="10"/>
    </font>
    <font>
      <b val="1"/>
      <color rgb="000062C6"/>
      <sz val="10"/>
    </font>
    <font>
      <b val="1"/>
      <color rgb="000062C6"/>
      <sz val="11"/>
    </font>
    <font>
      <b val="1"/>
      <color rgb="000062C6"/>
      <sz val="14"/>
    </font>
    <font>
      <color rgb="00666666"/>
      <sz val="9"/>
    </font>
    <font>
      <b val="1"/>
      <sz val="9"/>
    </font>
    <font>
      <sz val="9"/>
    </font>
    <font>
      <b val="1"/>
      <color rgb="000062C6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0F6FC"/>
      </patternFill>
    </fill>
    <fill>
      <patternFill patternType="solid">
        <fgColor rgb="00E6EFF9"/>
      </patternFill>
    </fill>
  </fills>
  <borders count="4">
    <border>
      <left/>
      <right/>
      <top/>
      <bottom/>
      <diagonal/>
    </border>
    <border>
      <top style="thin">
        <color rgb="00D6D6D6"/>
      </top>
      <bottom style="medium">
        <color rgb="000062C6"/>
      </bottom>
    </border>
    <border>
      <bottom style="thin">
        <color rgb="00D6D6D6"/>
      </bottom>
    </border>
    <border>
      <top style="medium">
        <color rgb="000062C6"/>
      </top>
      <bottom style="medium">
        <color rgb="000062C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3" fontId="8" fillId="0" borderId="2" applyAlignment="1" pivotButton="0" quotePrefix="0" xfId="0">
      <alignment horizontal="right"/>
    </xf>
    <xf numFmtId="9" fontId="8" fillId="0" borderId="2" pivotButton="0" quotePrefix="0" xfId="0"/>
    <xf numFmtId="0" fontId="7" fillId="4" borderId="3" pivotButton="0" quotePrefix="0" xfId="0"/>
    <xf numFmtId="3" fontId="7" fillId="4" borderId="3" applyAlignment="1" pivotButton="0" quotePrefix="0" xfId="0">
      <alignment horizontal="right"/>
    </xf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ASM 재고·구매 보고서 엑셀 양식 (Lia 요청 2종)</t>
        </is>
      </c>
    </row>
    <row r="2">
      <c r="A2" s="2" t="inlineStr">
        <is>
          <t>요청자: Lia Nur Fatimah (Local Sales Dept.) · RR-20261027-001</t>
        </is>
      </c>
    </row>
    <row r="3">
      <c r="A3" s="2" t="inlineStr">
        <is>
          <t>용도: ASM ERP Reports 신규 보고서 엑셀 다운로드 출력 양식(안). 내부 관리용(필수문서 5종 아님).</t>
        </is>
      </c>
    </row>
    <row r="4">
      <c r="A4" s="2" t="inlineStr"/>
    </row>
    <row r="5">
      <c r="A5" s="3" t="inlineStr">
        <is>
          <t>시트 구성</t>
        </is>
      </c>
    </row>
    <row r="6">
      <c r="A6" s="2" t="inlineStr">
        <is>
          <t>1-1 INV01_Summary : 창고별 주간 재고 요약 (Item › Brand › Description)</t>
        </is>
      </c>
    </row>
    <row r="7">
      <c r="A7" s="2" t="inlineStr">
        <is>
          <t>1-2 INV01_Data : 재고 라인 (ASM Inventory · Receipts · SO · DN 다운로드 컬럼)</t>
        </is>
      </c>
    </row>
    <row r="8">
      <c r="A8" s="2" t="inlineStr">
        <is>
          <t>2-1 PUR04_Summary : PO Summary GRPO By Qty / By Factory</t>
        </is>
      </c>
    </row>
    <row r="9">
      <c r="A9" s="2" t="inlineStr">
        <is>
          <t>2-2 PUR04_Data : PO 라인 (Vendor PO · PPC · Receipts · Customs)</t>
        </is>
      </c>
    </row>
    <row r="10">
      <c r="A10" s="2" t="inlineStr"/>
    </row>
    <row r="11">
      <c r="A11" s="3" t="inlineStr">
        <is>
          <t>규칙</t>
        </is>
      </c>
    </row>
    <row r="12">
      <c r="A12" s="2" t="inlineStr">
        <is>
          <t>- Sellable = WH Stock − NG − Hold · % = WH Stock ÷ Min Stock</t>
        </is>
      </c>
    </row>
    <row r="13">
      <c r="A13" s="2" t="inlineStr">
        <is>
          <t>- 창고(KRW/SBY/SMR) 시트 분리 대신 Warehouse 열 + 필터</t>
        </is>
      </c>
    </row>
    <row r="14">
      <c r="A14" s="2" t="inlineStr">
        <is>
          <t>- Local(IDR)·Import(USD) 금액 열 분리, 합산 금지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1" customWidth="1" min="4" max="4"/>
    <col width="28" customWidth="1" min="5" max="5"/>
    <col width="6" customWidth="1" min="6" max="6"/>
    <col width="10" customWidth="1" min="7" max="7"/>
    <col width="12" customWidth="1" min="8" max="8"/>
    <col width="10" customWidth="1" min="9" max="9"/>
    <col width="7" customWidth="1" min="10" max="10"/>
    <col width="10" customWidth="1" min="11" max="11"/>
    <col width="10" customWidth="1" min="12" max="12"/>
    <col width="10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7" customWidth="1" min="19" max="19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INV-01 Weekly Stock Summary by Warehouse — KRW · 2026-10-25</t>
        </is>
      </c>
    </row>
    <row r="3">
      <c r="A3" s="6" t="inlineStr">
        <is>
          <t>요청자: Lia Nur Fatimah (Local Sales Dept.) · RR-20261027-001  ·  ASM Menu: Reports › INVENTORY › Weekly Stock Summary  ·  Internal use only (필수문서 5종 아님)</t>
        </is>
      </c>
    </row>
    <row r="5" ht="30" customHeight="1">
      <c r="A5" s="7" t="inlineStr">
        <is>
          <t>Warehouse</t>
        </is>
      </c>
      <c r="B5" s="7" t="inlineStr">
        <is>
          <t>As Of</t>
        </is>
      </c>
      <c r="C5" s="7" t="inlineStr">
        <is>
          <t>Item (Category)</t>
        </is>
      </c>
      <c r="D5" s="7" t="inlineStr">
        <is>
          <t>Brand</t>
        </is>
      </c>
      <c r="E5" s="7" t="inlineStr">
        <is>
          <t>Description</t>
        </is>
      </c>
      <c r="F5" s="7" t="inlineStr">
        <is>
          <t>Grade</t>
        </is>
      </c>
      <c r="G5" s="7" t="inlineStr">
        <is>
          <t>WH Stock</t>
        </is>
      </c>
      <c r="H5" s="7" t="inlineStr">
        <is>
          <t>Sellable (Bisa Dijual)</t>
        </is>
      </c>
      <c r="I5" s="7" t="inlineStr">
        <is>
          <t>Inv 01 Month</t>
        </is>
      </c>
      <c r="J5" s="7" t="inlineStr">
        <is>
          <t>NG</t>
        </is>
      </c>
      <c r="K5" s="7" t="inlineStr">
        <is>
          <t>Good Receipt</t>
        </is>
      </c>
      <c r="L5" s="7" t="inlineStr">
        <is>
          <t>Incoming Import</t>
        </is>
      </c>
      <c r="M5" s="7" t="inlineStr">
        <is>
          <t>PPC Konfirm</t>
        </is>
      </c>
      <c r="N5" s="7" t="inlineStr">
        <is>
          <t>SO</t>
        </is>
      </c>
      <c r="O5" s="7" t="inlineStr">
        <is>
          <t>Forecast</t>
        </is>
      </c>
      <c r="P5" s="7" t="inlineStr">
        <is>
          <t>Shipped</t>
        </is>
      </c>
      <c r="Q5" s="7" t="inlineStr">
        <is>
          <t>Balance</t>
        </is>
      </c>
      <c r="R5" s="7" t="inlineStr">
        <is>
          <t>Min Stock</t>
        </is>
      </c>
      <c r="S5" s="7" t="inlineStr">
        <is>
          <t>%</t>
        </is>
      </c>
    </row>
    <row r="6">
      <c r="A6" s="8" t="inlineStr">
        <is>
          <t>KRW</t>
        </is>
      </c>
      <c r="B6" s="8" t="inlineStr">
        <is>
          <t>2026-10-25</t>
        </is>
      </c>
      <c r="C6" s="8" t="inlineStr">
        <is>
          <t>RADIAL</t>
        </is>
      </c>
      <c r="D6" s="8" t="inlineStr">
        <is>
          <t>ASCENDO</t>
        </is>
      </c>
      <c r="E6" s="8" t="inlineStr">
        <is>
          <t>ASC 7.50R16 AR112 14</t>
        </is>
      </c>
      <c r="F6" s="8" t="inlineStr"/>
      <c r="G6" s="9" t="n">
        <v>50</v>
      </c>
      <c r="H6" s="9" t="n">
        <v>50</v>
      </c>
      <c r="I6" s="9" t="n">
        <v>90</v>
      </c>
      <c r="J6" s="9" t="n">
        <v>1</v>
      </c>
      <c r="K6" s="9" t="n">
        <v>0</v>
      </c>
      <c r="L6" s="9" t="n">
        <v>0</v>
      </c>
      <c r="M6" s="9" t="n">
        <v>0</v>
      </c>
      <c r="N6" s="9" t="n">
        <v>40</v>
      </c>
      <c r="O6" s="9" t="n">
        <v>0</v>
      </c>
      <c r="P6" s="9" t="n">
        <v>40</v>
      </c>
      <c r="Q6" s="9" t="n">
        <v>0</v>
      </c>
      <c r="R6" s="9" t="n">
        <v>0</v>
      </c>
      <c r="S6" s="8" t="n"/>
    </row>
    <row r="7">
      <c r="A7" s="8" t="inlineStr">
        <is>
          <t>KRW</t>
        </is>
      </c>
      <c r="B7" s="8" t="inlineStr">
        <is>
          <t>2026-10-25</t>
        </is>
      </c>
      <c r="C7" s="8" t="inlineStr">
        <is>
          <t>RADIAL</t>
        </is>
      </c>
      <c r="D7" s="8" t="inlineStr">
        <is>
          <t>ASCENDO</t>
        </is>
      </c>
      <c r="E7" s="8" t="inlineStr">
        <is>
          <t>ASC 7.50R16 AR535 14</t>
        </is>
      </c>
      <c r="F7" s="8" t="inlineStr"/>
      <c r="G7" s="9" t="n">
        <v>306</v>
      </c>
      <c r="H7" s="9" t="n">
        <v>306</v>
      </c>
      <c r="I7" s="9" t="n">
        <v>306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50</v>
      </c>
      <c r="S7" s="10">
        <f>G7/R7</f>
        <v/>
      </c>
    </row>
    <row r="8">
      <c r="A8" s="8" t="inlineStr">
        <is>
          <t>KRW</t>
        </is>
      </c>
      <c r="B8" s="8" t="inlineStr">
        <is>
          <t>2026-10-25</t>
        </is>
      </c>
      <c r="C8" s="8" t="inlineStr">
        <is>
          <t>RADIAL</t>
        </is>
      </c>
      <c r="D8" s="8" t="inlineStr">
        <is>
          <t>ASCENDO</t>
        </is>
      </c>
      <c r="E8" s="8" t="inlineStr">
        <is>
          <t>ASC 7.50R16 AR585 14</t>
        </is>
      </c>
      <c r="F8" s="8" t="inlineStr">
        <is>
          <t>++</t>
        </is>
      </c>
      <c r="G8" s="9" t="n">
        <v>163</v>
      </c>
      <c r="H8" s="9" t="n">
        <v>163</v>
      </c>
      <c r="I8" s="9" t="n">
        <v>163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150</v>
      </c>
      <c r="S8" s="10">
        <f>G8/R8</f>
        <v/>
      </c>
    </row>
    <row r="9">
      <c r="A9" s="8" t="inlineStr">
        <is>
          <t>KRW</t>
        </is>
      </c>
      <c r="B9" s="8" t="inlineStr">
        <is>
          <t>2026-10-25</t>
        </is>
      </c>
      <c r="C9" s="8" t="inlineStr">
        <is>
          <t>RADIAL</t>
        </is>
      </c>
      <c r="D9" s="8" t="inlineStr">
        <is>
          <t>ASCENDO</t>
        </is>
      </c>
      <c r="E9" s="8" t="inlineStr">
        <is>
          <t>ASC 7.50R16 AR896 14</t>
        </is>
      </c>
      <c r="F9" s="8" t="inlineStr"/>
      <c r="G9" s="9" t="n">
        <v>646</v>
      </c>
      <c r="H9" s="9" t="n">
        <v>646</v>
      </c>
      <c r="I9" s="9" t="n">
        <v>648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2</v>
      </c>
      <c r="O9" s="9" t="n">
        <v>0</v>
      </c>
      <c r="P9" s="9" t="n">
        <v>2</v>
      </c>
      <c r="Q9" s="9" t="n">
        <v>0</v>
      </c>
      <c r="R9" s="9" t="n">
        <v>250</v>
      </c>
      <c r="S9" s="10">
        <f>G9/R9</f>
        <v/>
      </c>
    </row>
    <row r="10">
      <c r="A10" s="8" t="inlineStr">
        <is>
          <t>KRW</t>
        </is>
      </c>
      <c r="B10" s="8" t="inlineStr">
        <is>
          <t>2026-10-25</t>
        </is>
      </c>
      <c r="C10" s="8" t="inlineStr">
        <is>
          <t>RADIAL</t>
        </is>
      </c>
      <c r="D10" s="8" t="inlineStr">
        <is>
          <t>ASCENDO</t>
        </is>
      </c>
      <c r="E10" s="8" t="inlineStr">
        <is>
          <t>LTR TOTAL</t>
        </is>
      </c>
      <c r="F10" s="8" t="inlineStr"/>
      <c r="G10" s="9" t="n">
        <v>1171</v>
      </c>
      <c r="H10" s="9" t="n">
        <v>1171</v>
      </c>
      <c r="I10" s="9" t="n">
        <v>1213</v>
      </c>
      <c r="J10" s="9" t="n">
        <v>4</v>
      </c>
      <c r="K10" s="9" t="n">
        <v>0</v>
      </c>
      <c r="L10" s="9" t="n">
        <v>0</v>
      </c>
      <c r="M10" s="9" t="n">
        <v>0</v>
      </c>
      <c r="N10" s="9" t="n">
        <v>42</v>
      </c>
      <c r="O10" s="9" t="n">
        <v>0</v>
      </c>
      <c r="P10" s="9" t="n">
        <v>42</v>
      </c>
      <c r="Q10" s="9" t="n">
        <v>0</v>
      </c>
      <c r="R10" s="9" t="n">
        <v>500</v>
      </c>
      <c r="S10" s="8" t="n"/>
    </row>
    <row r="11">
      <c r="A11" s="8" t="inlineStr">
        <is>
          <t>KRW</t>
        </is>
      </c>
      <c r="B11" s="8" t="inlineStr">
        <is>
          <t>2026-10-25</t>
        </is>
      </c>
      <c r="C11" s="8" t="inlineStr">
        <is>
          <t>RADIAL</t>
        </is>
      </c>
      <c r="D11" s="8" t="inlineStr">
        <is>
          <t>ASCENDO</t>
        </is>
      </c>
      <c r="E11" s="8" t="inlineStr">
        <is>
          <t>SUBTOTAL ASCENDO</t>
        </is>
      </c>
      <c r="F11" s="8" t="inlineStr"/>
      <c r="G11" s="9" t="n">
        <v>10231</v>
      </c>
      <c r="H11" s="9" t="n">
        <v>10261</v>
      </c>
      <c r="I11" s="9" t="n">
        <v>11209</v>
      </c>
      <c r="J11" s="9" t="n">
        <v>22</v>
      </c>
      <c r="K11" s="9" t="n">
        <v>0</v>
      </c>
      <c r="L11" s="9" t="n">
        <v>0</v>
      </c>
      <c r="M11" s="9" t="n">
        <v>0</v>
      </c>
      <c r="N11" s="9" t="n">
        <v>948</v>
      </c>
      <c r="O11" s="9" t="n">
        <v>0</v>
      </c>
      <c r="P11" s="9" t="n">
        <v>948</v>
      </c>
      <c r="Q11" s="9" t="n">
        <v>0</v>
      </c>
      <c r="R11" s="9" t="n">
        <v>3850</v>
      </c>
      <c r="S11" s="8" t="n"/>
    </row>
    <row r="12">
      <c r="A12" s="8" t="inlineStr">
        <is>
          <t>KRW</t>
        </is>
      </c>
      <c r="B12" s="8" t="inlineStr">
        <is>
          <t>2026-10-25</t>
        </is>
      </c>
      <c r="C12" s="8" t="inlineStr">
        <is>
          <t>RADIAL</t>
        </is>
      </c>
      <c r="D12" s="8" t="inlineStr">
        <is>
          <t>TECHKING</t>
        </is>
      </c>
      <c r="E12" s="8" t="inlineStr">
        <is>
          <t>SUBTOTAL TECHKING</t>
        </is>
      </c>
      <c r="F12" s="8" t="inlineStr"/>
      <c r="G12" s="9" t="n">
        <v>5588</v>
      </c>
      <c r="H12" s="9" t="n">
        <v>5618</v>
      </c>
      <c r="I12" s="9" t="n">
        <v>6131</v>
      </c>
      <c r="J12" s="9" t="n">
        <v>7</v>
      </c>
      <c r="K12" s="9" t="n">
        <v>0</v>
      </c>
      <c r="L12" s="9" t="n">
        <v>0</v>
      </c>
      <c r="M12" s="9" t="n">
        <v>0</v>
      </c>
      <c r="N12" s="9" t="n">
        <v>513</v>
      </c>
      <c r="O12" s="9" t="n">
        <v>0</v>
      </c>
      <c r="P12" s="9" t="n">
        <v>513</v>
      </c>
      <c r="Q12" s="9" t="n">
        <v>0</v>
      </c>
      <c r="R12" s="9" t="n">
        <v>2960</v>
      </c>
      <c r="S12" s="8" t="n"/>
    </row>
    <row r="13">
      <c r="A13" s="8" t="inlineStr">
        <is>
          <t>KRW</t>
        </is>
      </c>
      <c r="B13" s="8" t="inlineStr">
        <is>
          <t>2026-10-25</t>
        </is>
      </c>
      <c r="C13" s="8" t="inlineStr">
        <is>
          <t>BIAS</t>
        </is>
      </c>
      <c r="D13" s="8" t="inlineStr">
        <is>
          <t>ASCENDO</t>
        </is>
      </c>
      <c r="E13" s="8" t="inlineStr">
        <is>
          <t>SUB TOTAL</t>
        </is>
      </c>
      <c r="F13" s="8" t="inlineStr"/>
      <c r="G13" s="9" t="n">
        <v>1506</v>
      </c>
      <c r="H13" s="9" t="n">
        <v>1861</v>
      </c>
      <c r="I13" s="9" t="n">
        <v>1540</v>
      </c>
      <c r="J13" s="9" t="n">
        <v>65</v>
      </c>
      <c r="K13" s="9" t="n">
        <v>0</v>
      </c>
      <c r="L13" s="9" t="n">
        <v>347</v>
      </c>
      <c r="M13" s="9" t="n">
        <v>0</v>
      </c>
      <c r="N13" s="9" t="n">
        <v>26</v>
      </c>
      <c r="O13" s="9" t="n">
        <v>0</v>
      </c>
      <c r="P13" s="9" t="n">
        <v>26</v>
      </c>
      <c r="Q13" s="9" t="n">
        <v>0</v>
      </c>
      <c r="R13" s="9" t="n">
        <v>1550</v>
      </c>
      <c r="S13" s="8" t="n"/>
    </row>
    <row r="14">
      <c r="A14" s="8" t="inlineStr">
        <is>
          <t>KRW</t>
        </is>
      </c>
      <c r="B14" s="8" t="inlineStr">
        <is>
          <t>2026-10-25</t>
        </is>
      </c>
      <c r="C14" s="8" t="inlineStr">
        <is>
          <t>BIAS</t>
        </is>
      </c>
      <c r="D14" s="8" t="inlineStr">
        <is>
          <t>JK TYRE</t>
        </is>
      </c>
      <c r="E14" s="8" t="inlineStr">
        <is>
          <t>SUB TOTAL</t>
        </is>
      </c>
      <c r="F14" s="8" t="inlineStr"/>
      <c r="G14" s="9" t="n">
        <v>421</v>
      </c>
      <c r="H14" s="9" t="n">
        <v>421</v>
      </c>
      <c r="I14" s="9" t="n">
        <v>421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8" t="n"/>
    </row>
    <row r="15">
      <c r="A15" s="11" t="inlineStr">
        <is>
          <t>TOTAL (p.1)</t>
        </is>
      </c>
      <c r="B15" s="11" t="inlineStr"/>
      <c r="C15" s="11" t="inlineStr"/>
      <c r="D15" s="11" t="inlineStr"/>
      <c r="E15" s="11" t="inlineStr"/>
      <c r="F15" s="11" t="inlineStr"/>
      <c r="G15" s="12" t="n">
        <v>17746</v>
      </c>
      <c r="H15" s="12" t="n">
        <v>18161</v>
      </c>
      <c r="I15" s="12" t="n">
        <v>19301</v>
      </c>
      <c r="J15" s="12" t="n">
        <v>65</v>
      </c>
      <c r="K15" s="12" t="n">
        <v>0</v>
      </c>
      <c r="L15" s="12" t="n">
        <v>347</v>
      </c>
      <c r="M15" s="12" t="n">
        <v>0</v>
      </c>
      <c r="N15" s="12" t="n">
        <v>1487</v>
      </c>
      <c r="O15" s="12" t="n">
        <v>0</v>
      </c>
      <c r="P15" s="12" t="n">
        <v>1487</v>
      </c>
      <c r="Q15" s="12" t="n">
        <v>0</v>
      </c>
      <c r="R15" s="12" t="n">
        <v>8360</v>
      </c>
      <c r="S15" s="11" t="inlineStr"/>
    </row>
    <row r="17">
      <c r="A17" s="13" t="inlineStr">
        <is>
          <t>NOTE</t>
        </is>
      </c>
    </row>
    <row r="18">
      <c r="A18" s="14" t="inlineStr">
        <is>
          <t>1. % 열 = WH Stock ÷ Min Stock (조건부 서식 100% 미만 적색)</t>
        </is>
      </c>
    </row>
    <row r="19">
      <c r="A19" s="14" t="inlineStr">
        <is>
          <t>2. SOLID 섹션은 IN = PPC Konfirm + Goods Receipt, OUT = SO · Forecast · Shipped · Balance SO</t>
        </is>
      </c>
    </row>
  </sheetData>
  <autoFilter ref="A5:S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9" customWidth="1" min="4" max="4"/>
    <col width="10" customWidth="1" min="5" max="5"/>
    <col width="7" customWidth="1" min="6" max="6"/>
    <col width="9" customWidth="1" min="7" max="7"/>
    <col width="9" customWidth="1" min="8" max="8"/>
    <col width="5" customWidth="1" min="9" max="9"/>
    <col width="6" customWidth="1" min="10" max="10"/>
    <col width="26" customWidth="1" min="11" max="11"/>
    <col width="9" customWidth="1" min="12" max="12"/>
    <col width="6" customWidth="1" min="13" max="13"/>
    <col width="6" customWidth="1" min="14" max="14"/>
    <col width="9" customWidth="1" min="15" max="15"/>
    <col width="10" customWidth="1" min="16" max="16"/>
    <col width="8" customWidth="1" min="17" max="17"/>
    <col width="12" customWidth="1" min="18" max="18"/>
    <col width="9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11" customWidth="1" min="25" max="25"/>
    <col width="11" customWidth="1" min="26" max="26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INV-01 Data : Stock line (ASM Inventory list + Receipts + SO + DN)</t>
        </is>
      </c>
    </row>
    <row r="3">
      <c r="A3" s="6" t="inlineStr">
        <is>
          <t>요청자: Lia Nur Fatimah (Local Sales Dept.) · RR-20261027-001  ·  ASM Menu: Inventory › Inventory List / Monthly Closing  ·  Internal use only (필수문서 5종 아님)</t>
        </is>
      </c>
    </row>
    <row r="5" ht="30" customHeight="1">
      <c r="A5" s="7" t="inlineStr">
        <is>
          <t>Warehouse</t>
        </is>
      </c>
      <c r="B5" s="7" t="inlineStr">
        <is>
          <t>Snapshot Date</t>
        </is>
      </c>
      <c r="C5" s="7" t="inlineStr">
        <is>
          <t>Product Code</t>
        </is>
      </c>
      <c r="D5" s="7" t="inlineStr">
        <is>
          <t>Category</t>
        </is>
      </c>
      <c r="E5" s="7" t="inlineStr">
        <is>
          <t>Brand</t>
        </is>
      </c>
      <c r="F5" s="7" t="inlineStr">
        <is>
          <t>Type 2</t>
        </is>
      </c>
      <c r="G5" s="7" t="inlineStr">
        <is>
          <t>Size</t>
        </is>
      </c>
      <c r="H5" s="7" t="inlineStr">
        <is>
          <t>Pattern</t>
        </is>
      </c>
      <c r="I5" s="7" t="inlineStr">
        <is>
          <t>PR</t>
        </is>
      </c>
      <c r="J5" s="7" t="inlineStr">
        <is>
          <t>Grade</t>
        </is>
      </c>
      <c r="K5" s="7" t="inlineStr">
        <is>
          <t>Description</t>
        </is>
      </c>
      <c r="L5" s="7" t="inlineStr">
        <is>
          <t>On Hand</t>
        </is>
      </c>
      <c r="M5" s="7" t="inlineStr">
        <is>
          <t>NG</t>
        </is>
      </c>
      <c r="N5" s="7" t="inlineStr">
        <is>
          <t>Hold</t>
        </is>
      </c>
      <c r="O5" s="7" t="inlineStr">
        <is>
          <t>Sellable</t>
        </is>
      </c>
      <c r="P5" s="7" t="inlineStr">
        <is>
          <t>Inv Month Open</t>
        </is>
      </c>
      <c r="Q5" s="7" t="inlineStr">
        <is>
          <t>GR MTD</t>
        </is>
      </c>
      <c r="R5" s="7" t="inlineStr">
        <is>
          <t>Incoming (Shipment ETA)</t>
        </is>
      </c>
      <c r="S5" s="7" t="inlineStr">
        <is>
          <t>PPC Confirm</t>
        </is>
      </c>
      <c r="T5" s="7" t="inlineStr">
        <is>
          <t>SO Open</t>
        </is>
      </c>
      <c r="U5" s="7" t="inlineStr">
        <is>
          <t>Forecast</t>
        </is>
      </c>
      <c r="V5" s="7" t="inlineStr">
        <is>
          <t>DN MTD</t>
        </is>
      </c>
      <c r="W5" s="7" t="inlineStr">
        <is>
          <t>Balance SO</t>
        </is>
      </c>
      <c r="X5" s="7" t="inlineStr">
        <is>
          <t>Min Stock</t>
        </is>
      </c>
      <c r="Y5" s="7" t="inlineStr">
        <is>
          <t>Last GR Date</t>
        </is>
      </c>
      <c r="Z5" s="7" t="inlineStr">
        <is>
          <t>Last DN Date</t>
        </is>
      </c>
    </row>
    <row r="6">
      <c r="A6" s="8" t="inlineStr">
        <is>
          <t>KRW</t>
        </is>
      </c>
      <c r="B6" s="8" t="inlineStr">
        <is>
          <t>2026-10-25</t>
        </is>
      </c>
      <c r="C6" s="8" t="inlineStr">
        <is>
          <t>R1-75016112</t>
        </is>
      </c>
      <c r="D6" s="8" t="inlineStr">
        <is>
          <t>RADIAL</t>
        </is>
      </c>
      <c r="E6" s="8" t="inlineStr">
        <is>
          <t>ASCENDO</t>
        </is>
      </c>
      <c r="F6" s="8" t="inlineStr">
        <is>
          <t>LTR</t>
        </is>
      </c>
      <c r="G6" s="8" t="inlineStr">
        <is>
          <t>7.50R16</t>
        </is>
      </c>
      <c r="H6" s="8" t="inlineStr">
        <is>
          <t>AR112</t>
        </is>
      </c>
      <c r="I6" s="8" t="inlineStr">
        <is>
          <t>14</t>
        </is>
      </c>
      <c r="J6" s="8" t="inlineStr"/>
      <c r="K6" s="8" t="inlineStr">
        <is>
          <t>ASC 7.50R16 AR112 14</t>
        </is>
      </c>
      <c r="L6" s="9" t="n">
        <v>50</v>
      </c>
      <c r="M6" s="9" t="n">
        <v>1</v>
      </c>
      <c r="N6" s="9" t="n">
        <v>0</v>
      </c>
      <c r="O6" s="9">
        <f>L6-M6-N6</f>
        <v/>
      </c>
      <c r="P6" s="9" t="n">
        <v>90</v>
      </c>
      <c r="Q6" s="9" t="n">
        <v>0</v>
      </c>
      <c r="R6" s="9" t="n">
        <v>0</v>
      </c>
      <c r="S6" s="9" t="n">
        <v>0</v>
      </c>
      <c r="T6" s="9" t="n">
        <v>40</v>
      </c>
      <c r="U6" s="9" t="n">
        <v>0</v>
      </c>
      <c r="V6" s="9" t="n">
        <v>40</v>
      </c>
      <c r="W6" s="9">
        <f>T6-V6</f>
        <v/>
      </c>
      <c r="X6" s="9" t="n">
        <v>0</v>
      </c>
      <c r="Y6" s="8" t="inlineStr"/>
      <c r="Z6" s="8" t="inlineStr"/>
    </row>
    <row r="7">
      <c r="A7" s="8" t="inlineStr">
        <is>
          <t>KRW</t>
        </is>
      </c>
      <c r="B7" s="8" t="inlineStr">
        <is>
          <t>2026-10-25</t>
        </is>
      </c>
      <c r="C7" s="8" t="inlineStr">
        <is>
          <t>R1-75016535</t>
        </is>
      </c>
      <c r="D7" s="8" t="inlineStr">
        <is>
          <t>RADIAL</t>
        </is>
      </c>
      <c r="E7" s="8" t="inlineStr">
        <is>
          <t>ASCENDO</t>
        </is>
      </c>
      <c r="F7" s="8" t="inlineStr">
        <is>
          <t>LTR</t>
        </is>
      </c>
      <c r="G7" s="8" t="inlineStr">
        <is>
          <t>7.50R16</t>
        </is>
      </c>
      <c r="H7" s="8" t="inlineStr">
        <is>
          <t>AR535</t>
        </is>
      </c>
      <c r="I7" s="8" t="inlineStr">
        <is>
          <t>14</t>
        </is>
      </c>
      <c r="J7" s="8" t="inlineStr"/>
      <c r="K7" s="8" t="inlineStr">
        <is>
          <t>ASC 7.50R16 AR535 14</t>
        </is>
      </c>
      <c r="L7" s="9" t="n">
        <v>306</v>
      </c>
      <c r="M7" s="9" t="n">
        <v>0</v>
      </c>
      <c r="N7" s="9" t="n">
        <v>0</v>
      </c>
      <c r="O7" s="9">
        <f>L7-M7-N7</f>
        <v/>
      </c>
      <c r="P7" s="9" t="n">
        <v>306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>
        <f>T7-V7</f>
        <v/>
      </c>
      <c r="X7" s="9" t="n">
        <v>50</v>
      </c>
      <c r="Y7" s="8" t="inlineStr"/>
      <c r="Z7" s="8" t="inlineStr"/>
    </row>
  </sheetData>
  <autoFilter ref="A5:Z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0" customWidth="1" min="4" max="4"/>
    <col width="10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5" customWidth="1" min="11" max="11"/>
    <col width="15" customWidth="1" min="12" max="12"/>
    <col width="15" customWidth="1" min="13" max="13"/>
    <col width="10" customWidth="1" min="14" max="14"/>
    <col width="12" customWidth="1" min="15" max="15"/>
    <col width="10" customWidth="1" min="16" max="16"/>
    <col width="10" customWidth="1" min="17" max="17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PUR-04 Summary Purchase Order GRPO — October 2026 (By Qty / By Factory)</t>
        </is>
      </c>
    </row>
    <row r="3">
      <c r="A3" s="6" t="inlineStr">
        <is>
          <t>요청자: Lia Nur Fatimah (Local Sales Dept.) · RR-20261027-001  ·  ASM Menu: Reports › PURCHASE › PO Summary GRPO  ·  Internal use only (필수문서 5종 아님)</t>
        </is>
      </c>
    </row>
    <row r="5" ht="30" customHeight="1">
      <c r="A5" s="7" t="inlineStr">
        <is>
          <t>Month</t>
        </is>
      </c>
      <c r="B5" s="7" t="inlineStr">
        <is>
          <t>View</t>
        </is>
      </c>
      <c r="C5" s="7" t="inlineStr">
        <is>
          <t>Type 3</t>
        </is>
      </c>
      <c r="D5" s="7" t="inlineStr">
        <is>
          <t>Type 2</t>
        </is>
      </c>
      <c r="E5" s="7" t="inlineStr">
        <is>
          <t>Brand</t>
        </is>
      </c>
      <c r="F5" s="7" t="inlineStr">
        <is>
          <t>Vendor</t>
        </is>
      </c>
      <c r="G5" s="7" t="inlineStr">
        <is>
          <t>PO QTY</t>
        </is>
      </c>
      <c r="H5" s="7" t="inlineStr">
        <is>
          <t>PPC Confirm</t>
        </is>
      </c>
      <c r="I5" s="7" t="inlineStr">
        <is>
          <t>Actual Receipt</t>
        </is>
      </c>
      <c r="J5" s="7" t="inlineStr">
        <is>
          <t>Outstanding PLB (Qty)</t>
        </is>
      </c>
      <c r="K5" s="7" t="inlineStr">
        <is>
          <t>PO AMT (IDR)</t>
        </is>
      </c>
      <c r="L5" s="7" t="inlineStr">
        <is>
          <t>PPC Confirm (IDR)</t>
        </is>
      </c>
      <c r="M5" s="7" t="inlineStr">
        <is>
          <t>Actual Receipt AMT (IDR)</t>
        </is>
      </c>
      <c r="N5" s="7" t="inlineStr">
        <is>
          <t>PO AMT ($)</t>
        </is>
      </c>
      <c r="O5" s="7" t="inlineStr">
        <is>
          <t>Actual Receipt AMT (USD)</t>
        </is>
      </c>
      <c r="P5" s="7" t="inlineStr">
        <is>
          <t>Outstanding PLB ($)</t>
        </is>
      </c>
      <c r="Q5" s="7" t="inlineStr">
        <is>
          <t>Outstanding AMT ($)</t>
        </is>
      </c>
    </row>
    <row r="6">
      <c r="A6" s="8" t="inlineStr">
        <is>
          <t>2026-10</t>
        </is>
      </c>
      <c r="B6" s="8" t="inlineStr">
        <is>
          <t>By Qty</t>
        </is>
      </c>
      <c r="C6" s="8" t="inlineStr">
        <is>
          <t>TIRE</t>
        </is>
      </c>
      <c r="D6" s="8" t="inlineStr">
        <is>
          <t>OTR</t>
        </is>
      </c>
      <c r="E6" s="8" t="inlineStr">
        <is>
          <t>ASCENDO</t>
        </is>
      </c>
      <c r="F6" s="8" t="inlineStr">
        <is>
          <t>PT. HIRUNDO TYRE UTAMA</t>
        </is>
      </c>
      <c r="G6" s="9" t="n">
        <v>200</v>
      </c>
      <c r="H6" s="9" t="n">
        <v>200</v>
      </c>
      <c r="I6" s="9" t="n">
        <v>200</v>
      </c>
      <c r="J6" s="9" t="n">
        <v>0</v>
      </c>
      <c r="K6" s="8" t="n"/>
      <c r="L6" s="8" t="n"/>
      <c r="M6" s="8" t="n"/>
      <c r="N6" s="9" t="n">
        <v>100509</v>
      </c>
      <c r="O6" s="9" t="n">
        <v>100509</v>
      </c>
      <c r="P6" s="9" t="n">
        <v>0</v>
      </c>
      <c r="Q6" s="9" t="n">
        <v>0</v>
      </c>
    </row>
    <row r="7">
      <c r="A7" s="8" t="inlineStr">
        <is>
          <t>2026-10</t>
        </is>
      </c>
      <c r="B7" s="8" t="inlineStr">
        <is>
          <t>By Qty</t>
        </is>
      </c>
      <c r="C7" s="8" t="inlineStr">
        <is>
          <t>TIRE</t>
        </is>
      </c>
      <c r="D7" s="8" t="inlineStr">
        <is>
          <t>OTR</t>
        </is>
      </c>
      <c r="E7" s="8" t="inlineStr">
        <is>
          <t>TECHKING</t>
        </is>
      </c>
      <c r="F7" s="8" t="inlineStr">
        <is>
          <t>PT. HIRUNDO TYRE UTAMA</t>
        </is>
      </c>
      <c r="G7" s="9" t="n">
        <v>20</v>
      </c>
      <c r="H7" s="9" t="n">
        <v>20</v>
      </c>
      <c r="I7" s="9" t="n">
        <v>20</v>
      </c>
      <c r="J7" s="9" t="n">
        <v>0</v>
      </c>
      <c r="K7" s="8" t="n"/>
      <c r="L7" s="8" t="n"/>
      <c r="M7" s="8" t="n"/>
      <c r="N7" s="9" t="n">
        <v>15800</v>
      </c>
      <c r="O7" s="9" t="n">
        <v>15800</v>
      </c>
      <c r="P7" s="9" t="n">
        <v>0</v>
      </c>
      <c r="Q7" s="9" t="n">
        <v>0</v>
      </c>
    </row>
    <row r="8">
      <c r="A8" s="8" t="inlineStr">
        <is>
          <t>2026-10</t>
        </is>
      </c>
      <c r="B8" s="8" t="inlineStr">
        <is>
          <t>By Qty</t>
        </is>
      </c>
      <c r="C8" s="8" t="inlineStr">
        <is>
          <t>TIRE</t>
        </is>
      </c>
      <c r="D8" s="8" t="inlineStr">
        <is>
          <t>SOLID</t>
        </is>
      </c>
      <c r="E8" s="8" t="inlineStr">
        <is>
          <t>ASCENDO</t>
        </is>
      </c>
      <c r="F8" s="8" t="inlineStr">
        <is>
          <t>PT. ARAMI JAYA</t>
        </is>
      </c>
      <c r="G8" s="9" t="n">
        <v>1108</v>
      </c>
      <c r="H8" s="9" t="n">
        <v>789</v>
      </c>
      <c r="I8" s="9" t="n">
        <v>503</v>
      </c>
      <c r="J8" s="9" t="n">
        <v>0</v>
      </c>
      <c r="K8" s="9" t="n">
        <v>1787836039</v>
      </c>
      <c r="L8" s="9" t="n">
        <v>1182535441</v>
      </c>
      <c r="M8" s="9" t="n">
        <v>717586369</v>
      </c>
      <c r="N8" s="8" t="n"/>
      <c r="O8" s="8" t="n"/>
      <c r="P8" s="9" t="n">
        <v>0</v>
      </c>
      <c r="Q8" s="9" t="n">
        <v>0</v>
      </c>
    </row>
    <row r="9">
      <c r="A9" s="8" t="inlineStr">
        <is>
          <t>2026-10</t>
        </is>
      </c>
      <c r="B9" s="8" t="inlineStr">
        <is>
          <t>By Qty</t>
        </is>
      </c>
      <c r="C9" s="8" t="inlineStr">
        <is>
          <t>TIRE</t>
        </is>
      </c>
      <c r="D9" s="8" t="inlineStr">
        <is>
          <t>SOLID</t>
        </is>
      </c>
      <c r="E9" s="8" t="inlineStr">
        <is>
          <t>DIAMOND</t>
        </is>
      </c>
      <c r="F9" s="8" t="inlineStr">
        <is>
          <t>PT. ARAMI JAYA</t>
        </is>
      </c>
      <c r="G9" s="9" t="n">
        <v>613</v>
      </c>
      <c r="H9" s="9" t="n">
        <v>298</v>
      </c>
      <c r="I9" s="9" t="n">
        <v>160</v>
      </c>
      <c r="J9" s="9" t="n">
        <v>0</v>
      </c>
      <c r="K9" s="9" t="n">
        <v>847873372</v>
      </c>
      <c r="L9" s="9" t="n">
        <v>432696308</v>
      </c>
      <c r="M9" s="9" t="n">
        <v>236375394</v>
      </c>
      <c r="N9" s="8" t="n"/>
      <c r="O9" s="8" t="n"/>
      <c r="P9" s="9" t="n">
        <v>0</v>
      </c>
      <c r="Q9" s="9" t="n">
        <v>0</v>
      </c>
    </row>
    <row r="10">
      <c r="A10" s="8" t="inlineStr">
        <is>
          <t>2026-10</t>
        </is>
      </c>
      <c r="B10" s="8" t="inlineStr">
        <is>
          <t>By Qty</t>
        </is>
      </c>
      <c r="C10" s="8" t="inlineStr">
        <is>
          <t>TIRE</t>
        </is>
      </c>
      <c r="D10" s="8" t="inlineStr">
        <is>
          <t>AGR</t>
        </is>
      </c>
      <c r="E10" s="8" t="inlineStr">
        <is>
          <t>ASCENDO</t>
        </is>
      </c>
      <c r="F10" s="8" t="inlineStr">
        <is>
          <t>PT. HIRUNDO TYRE UTAMA</t>
        </is>
      </c>
      <c r="G10" s="9" t="n">
        <v>495</v>
      </c>
      <c r="H10" s="9" t="n">
        <v>495</v>
      </c>
      <c r="I10" s="9" t="n">
        <v>495</v>
      </c>
      <c r="J10" s="9" t="n">
        <v>0</v>
      </c>
      <c r="K10" s="8" t="n"/>
      <c r="L10" s="8" t="n"/>
      <c r="M10" s="8" t="n"/>
      <c r="N10" s="9" t="n">
        <v>39505</v>
      </c>
      <c r="O10" s="9" t="n">
        <v>39505</v>
      </c>
      <c r="P10" s="9" t="n">
        <v>0</v>
      </c>
      <c r="Q10" s="9" t="n">
        <v>0</v>
      </c>
    </row>
    <row r="11">
      <c r="A11" s="8" t="inlineStr">
        <is>
          <t>2026-10</t>
        </is>
      </c>
      <c r="B11" s="8" t="inlineStr">
        <is>
          <t>By Qty</t>
        </is>
      </c>
      <c r="C11" s="8" t="inlineStr">
        <is>
          <t>TIRE Total</t>
        </is>
      </c>
      <c r="D11" s="8" t="inlineStr"/>
      <c r="E11" s="8" t="inlineStr"/>
      <c r="F11" s="8" t="inlineStr"/>
      <c r="G11" s="9" t="n">
        <v>2886</v>
      </c>
      <c r="H11" s="9" t="n">
        <v>2252</v>
      </c>
      <c r="I11" s="9" t="n">
        <v>1459</v>
      </c>
      <c r="J11" s="9" t="n">
        <v>0</v>
      </c>
      <c r="K11" s="9" t="n">
        <v>3546182351</v>
      </c>
      <c r="L11" s="9" t="n">
        <v>2525704689</v>
      </c>
      <c r="M11" s="9" t="n">
        <v>1060317763</v>
      </c>
      <c r="N11" s="9" t="n">
        <v>157129</v>
      </c>
      <c r="O11" s="9" t="n">
        <v>157129</v>
      </c>
      <c r="P11" s="9" t="n">
        <v>0</v>
      </c>
      <c r="Q11" s="9" t="n">
        <v>0</v>
      </c>
    </row>
    <row r="12">
      <c r="A12" s="8" t="inlineStr">
        <is>
          <t>2026-10</t>
        </is>
      </c>
      <c r="B12" s="8" t="inlineStr">
        <is>
          <t>By Qty</t>
        </is>
      </c>
      <c r="C12" s="8" t="inlineStr">
        <is>
          <t>TUBE Total</t>
        </is>
      </c>
      <c r="D12" s="8" t="inlineStr"/>
      <c r="E12" s="8" t="inlineStr"/>
      <c r="F12" s="8" t="inlineStr">
        <is>
          <t>PT. ARAMI JAYA</t>
        </is>
      </c>
      <c r="G12" s="9" t="n">
        <v>43529</v>
      </c>
      <c r="H12" s="9" t="n">
        <v>28910</v>
      </c>
      <c r="I12" s="9" t="n">
        <v>19924</v>
      </c>
      <c r="J12" s="9" t="n">
        <v>0</v>
      </c>
      <c r="K12" s="9" t="n">
        <v>9695135269</v>
      </c>
      <c r="L12" s="9" t="n">
        <v>6118771204</v>
      </c>
      <c r="M12" s="9" t="n">
        <v>4184274954</v>
      </c>
      <c r="N12" s="8" t="n"/>
      <c r="O12" s="8" t="n"/>
      <c r="P12" s="9" t="n">
        <v>0</v>
      </c>
      <c r="Q12" s="9" t="n">
        <v>0</v>
      </c>
    </row>
    <row r="13">
      <c r="A13" s="8" t="inlineStr">
        <is>
          <t>2026-10</t>
        </is>
      </c>
      <c r="B13" s="8" t="inlineStr">
        <is>
          <t>By Qty</t>
        </is>
      </c>
      <c r="C13" s="8" t="inlineStr">
        <is>
          <t>FLAP Total</t>
        </is>
      </c>
      <c r="D13" s="8" t="inlineStr"/>
      <c r="E13" s="8" t="inlineStr"/>
      <c r="F13" s="8" t="inlineStr">
        <is>
          <t>SHANXI HUAJUN TIRE CO., LTD</t>
        </is>
      </c>
      <c r="G13" s="9" t="n">
        <v>16359</v>
      </c>
      <c r="H13" s="9" t="n">
        <v>16359</v>
      </c>
      <c r="I13" s="9" t="n">
        <v>0</v>
      </c>
      <c r="J13" s="9" t="n">
        <v>0</v>
      </c>
      <c r="K13" s="8" t="n"/>
      <c r="L13" s="8" t="n"/>
      <c r="M13" s="8" t="n"/>
      <c r="N13" s="9" t="n">
        <v>50517</v>
      </c>
      <c r="O13" s="8" t="n"/>
      <c r="P13" s="9" t="n">
        <v>0</v>
      </c>
      <c r="Q13" s="9" t="n">
        <v>50517</v>
      </c>
    </row>
    <row r="14">
      <c r="A14" s="8" t="inlineStr">
        <is>
          <t>2026-10</t>
        </is>
      </c>
      <c r="B14" s="8" t="inlineStr">
        <is>
          <t>By Qty</t>
        </is>
      </c>
      <c r="C14" s="8" t="inlineStr">
        <is>
          <t>JADI Total</t>
        </is>
      </c>
      <c r="D14" s="8" t="inlineStr">
        <is>
          <t>TIRE</t>
        </is>
      </c>
      <c r="E14" s="8" t="inlineStr">
        <is>
          <t>GIS</t>
        </is>
      </c>
      <c r="F14" s="8" t="inlineStr">
        <is>
          <t>PT. DIAMOND FAJAR JAYA</t>
        </is>
      </c>
      <c r="G14" s="9" t="n">
        <v>14</v>
      </c>
      <c r="H14" s="9" t="n">
        <v>14</v>
      </c>
      <c r="I14" s="9" t="n">
        <v>14</v>
      </c>
      <c r="J14" s="9" t="n">
        <v>0</v>
      </c>
      <c r="K14" s="9" t="n">
        <v>23050000</v>
      </c>
      <c r="L14" s="9" t="n">
        <v>23050000</v>
      </c>
      <c r="M14" s="9" t="n">
        <v>23050000</v>
      </c>
      <c r="N14" s="8" t="n"/>
      <c r="O14" s="8" t="n"/>
      <c r="P14" s="9" t="n">
        <v>0</v>
      </c>
      <c r="Q14" s="9" t="n">
        <v>0</v>
      </c>
    </row>
    <row r="15">
      <c r="A15" s="8" t="inlineStr">
        <is>
          <t>2026-10</t>
        </is>
      </c>
      <c r="B15" s="8" t="inlineStr">
        <is>
          <t>By Qty</t>
        </is>
      </c>
      <c r="C15" s="8" t="inlineStr">
        <is>
          <t>JASA Total</t>
        </is>
      </c>
      <c r="D15" s="8" t="inlineStr">
        <is>
          <t>TIRE</t>
        </is>
      </c>
      <c r="E15" s="8" t="inlineStr">
        <is>
          <t>GIS</t>
        </is>
      </c>
      <c r="F15" s="8" t="inlineStr">
        <is>
          <t>PT. DIAMOND FAJAR JAYA</t>
        </is>
      </c>
      <c r="G15" s="9" t="n">
        <v>80</v>
      </c>
      <c r="H15" s="9" t="n">
        <v>75</v>
      </c>
      <c r="I15" s="9" t="n">
        <v>75</v>
      </c>
      <c r="J15" s="9" t="n">
        <v>0</v>
      </c>
      <c r="K15" s="9" t="n">
        <v>43762100</v>
      </c>
      <c r="L15" s="9" t="n">
        <v>41132100</v>
      </c>
      <c r="M15" s="9" t="n">
        <v>41132100</v>
      </c>
      <c r="N15" s="8" t="n"/>
      <c r="O15" s="8" t="n"/>
      <c r="P15" s="9" t="n">
        <v>0</v>
      </c>
      <c r="Q15" s="9" t="n">
        <v>0</v>
      </c>
    </row>
    <row r="16">
      <c r="A16" s="8" t="inlineStr">
        <is>
          <t>2026-10</t>
        </is>
      </c>
      <c r="B16" s="8" t="inlineStr">
        <is>
          <t>By Qty</t>
        </is>
      </c>
      <c r="C16" s="8" t="inlineStr">
        <is>
          <t>Others Total</t>
        </is>
      </c>
      <c r="D16" s="8" t="inlineStr">
        <is>
          <t>Others</t>
        </is>
      </c>
      <c r="E16" s="8" t="inlineStr">
        <is>
          <t>GIS</t>
        </is>
      </c>
      <c r="F16" s="8" t="inlineStr">
        <is>
          <t>PT. DIAMOND FAJAR JAYA</t>
        </is>
      </c>
      <c r="G16" s="9" t="n">
        <v>80</v>
      </c>
      <c r="H16" s="9" t="n">
        <v>75</v>
      </c>
      <c r="I16" s="9" t="n">
        <v>75</v>
      </c>
      <c r="J16" s="9" t="n">
        <v>0</v>
      </c>
      <c r="K16" s="9" t="n">
        <v>12800000</v>
      </c>
      <c r="L16" s="9" t="n">
        <v>12000000</v>
      </c>
      <c r="M16" s="9" t="n">
        <v>12000000</v>
      </c>
      <c r="N16" s="8" t="n"/>
      <c r="O16" s="8" t="n"/>
      <c r="P16" s="9" t="n">
        <v>0</v>
      </c>
      <c r="Q16" s="9" t="n">
        <v>0</v>
      </c>
    </row>
    <row r="17">
      <c r="A17" s="11" t="inlineStr">
        <is>
          <t>Grand Total</t>
        </is>
      </c>
      <c r="B17" s="11" t="inlineStr"/>
      <c r="C17" s="11" t="inlineStr"/>
      <c r="D17" s="11" t="inlineStr"/>
      <c r="E17" s="11" t="inlineStr"/>
      <c r="F17" s="11" t="inlineStr"/>
      <c r="G17" s="12" t="n">
        <v>62948</v>
      </c>
      <c r="H17" s="12" t="n">
        <v>47685</v>
      </c>
      <c r="I17" s="12" t="n">
        <v>21547</v>
      </c>
      <c r="J17" s="12" t="n">
        <v>0</v>
      </c>
      <c r="K17" s="12" t="n">
        <v>13320929720</v>
      </c>
      <c r="L17" s="12" t="n">
        <v>8720657993</v>
      </c>
      <c r="M17" s="12" t="n">
        <v>5320774817</v>
      </c>
      <c r="N17" s="12" t="n">
        <v>207646</v>
      </c>
      <c r="O17" s="12" t="n">
        <v>157129</v>
      </c>
      <c r="P17" s="12" t="n">
        <v>0</v>
      </c>
      <c r="Q17" s="12" t="n">
        <v>50517</v>
      </c>
    </row>
    <row r="19">
      <c r="A19" s="13" t="inlineStr">
        <is>
          <t>NOTE</t>
        </is>
      </c>
    </row>
    <row r="20">
      <c r="A20" s="14" t="inlineStr">
        <is>
          <t>1. By Factory 뷰 = 같은 데이터를 Vendor 축으로 피벗</t>
        </is>
      </c>
    </row>
    <row r="21">
      <c r="A21" s="14" t="inlineStr">
        <is>
          <t>2. IDR(Local)·USD(Import) 열 분리</t>
        </is>
      </c>
    </row>
  </sheetData>
  <autoFilter ref="A5:Q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22" customWidth="1" min="4" max="4"/>
    <col width="10" customWidth="1" min="5" max="5"/>
    <col width="8" customWidth="1" min="6" max="6"/>
    <col width="10" customWidth="1" min="7" max="7"/>
    <col width="10" customWidth="1" min="8" max="8"/>
    <col width="24" customWidth="1" min="9" max="9"/>
    <col width="8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1" customWidth="1" min="16" max="16"/>
    <col width="8" customWidth="1" min="17" max="17"/>
    <col width="14" customWidth="1" min="18" max="18"/>
    <col width="14" customWidth="1" min="19" max="19"/>
    <col width="14" customWidth="1" min="20" max="20"/>
    <col width="8" customWidth="1" min="21" max="21"/>
    <col width="9" customWidth="1" min="22" max="22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PUR-04 Data : Vendor PO line (ASM Vendor PO · PPC · Receipts · Customs)</t>
        </is>
      </c>
    </row>
    <row r="3">
      <c r="A3" s="6" t="inlineStr">
        <is>
          <t>요청자: Lia Nur Fatimah (Local Sales Dept.) · RR-20261027-001  ·  ASM Menu: Purchase › Vendor PO / PPC / Receipts  ·  Internal use only (필수문서 5종 아님)</t>
        </is>
      </c>
    </row>
    <row r="5" ht="30" customHeight="1">
      <c r="A5" s="7" t="inlineStr">
        <is>
          <t>PO No</t>
        </is>
      </c>
      <c r="B5" s="7" t="inlineStr">
        <is>
          <t>PO Date</t>
        </is>
      </c>
      <c r="C5" s="7" t="inlineStr">
        <is>
          <t>Month</t>
        </is>
      </c>
      <c r="D5" s="7" t="inlineStr">
        <is>
          <t>Vendor</t>
        </is>
      </c>
      <c r="E5" s="7" t="inlineStr">
        <is>
          <t>Purchase Type</t>
        </is>
      </c>
      <c r="F5" s="7" t="inlineStr">
        <is>
          <t>Type 3</t>
        </is>
      </c>
      <c r="G5" s="7" t="inlineStr">
        <is>
          <t>Type 2</t>
        </is>
      </c>
      <c r="H5" s="7" t="inlineStr">
        <is>
          <t>Brand</t>
        </is>
      </c>
      <c r="I5" s="7" t="inlineStr">
        <is>
          <t>Description</t>
        </is>
      </c>
      <c r="J5" s="7" t="inlineStr">
        <is>
          <t>PO QTY</t>
        </is>
      </c>
      <c r="K5" s="7" t="inlineStr">
        <is>
          <t>PPC Confirm</t>
        </is>
      </c>
      <c r="L5" s="7" t="inlineStr">
        <is>
          <t>PPC Date</t>
        </is>
      </c>
      <c r="M5" s="7" t="inlineStr">
        <is>
          <t>Actual Receipt</t>
        </is>
      </c>
      <c r="N5" s="7" t="inlineStr">
        <is>
          <t>GR Date</t>
        </is>
      </c>
      <c r="O5" s="7" t="inlineStr">
        <is>
          <t>Outstanding PLB Qty</t>
        </is>
      </c>
      <c r="P5" s="7" t="inlineStr">
        <is>
          <t>Unit Price</t>
        </is>
      </c>
      <c r="Q5" s="7" t="inlineStr">
        <is>
          <t>Currency</t>
        </is>
      </c>
      <c r="R5" s="7" t="inlineStr">
        <is>
          <t>PO AMT</t>
        </is>
      </c>
      <c r="S5" s="7" t="inlineStr">
        <is>
          <t>PPC AMT</t>
        </is>
      </c>
      <c r="T5" s="7" t="inlineStr">
        <is>
          <t>Receipt AMT</t>
        </is>
      </c>
      <c r="U5" s="7" t="inlineStr">
        <is>
          <t>Kurs</t>
        </is>
      </c>
      <c r="V5" s="7" t="inlineStr">
        <is>
          <t>Warehouse</t>
        </is>
      </c>
    </row>
    <row r="6">
      <c r="A6" s="8" t="inlineStr">
        <is>
          <t>TKHTU-ARAMI-202610-01</t>
        </is>
      </c>
      <c r="B6" s="8" t="inlineStr">
        <is>
          <t>2026-10-02</t>
        </is>
      </c>
      <c r="C6" s="8" t="inlineStr">
        <is>
          <t>2026-10</t>
        </is>
      </c>
      <c r="D6" s="8" t="inlineStr">
        <is>
          <t>PT. ARAMI JAYA</t>
        </is>
      </c>
      <c r="E6" s="8" t="inlineStr">
        <is>
          <t>Local</t>
        </is>
      </c>
      <c r="F6" s="8" t="inlineStr">
        <is>
          <t>TIRE</t>
        </is>
      </c>
      <c r="G6" s="8" t="inlineStr">
        <is>
          <t>SOLID</t>
        </is>
      </c>
      <c r="H6" s="8" t="inlineStr">
        <is>
          <t>ASCENDO</t>
        </is>
      </c>
      <c r="I6" s="8" t="inlineStr">
        <is>
          <t>ASC 7.00-12 S2000</t>
        </is>
      </c>
      <c r="J6" s="9" t="n">
        <v>300</v>
      </c>
      <c r="K6" s="9" t="n">
        <v>200</v>
      </c>
      <c r="L6" s="9" t="inlineStr">
        <is>
          <t>2026-10-10</t>
        </is>
      </c>
      <c r="M6" s="9" t="n">
        <v>150</v>
      </c>
      <c r="N6" s="9" t="inlineStr">
        <is>
          <t>2026-10-20</t>
        </is>
      </c>
      <c r="O6" s="9" t="n">
        <v>0</v>
      </c>
      <c r="P6" s="9" t="n">
        <v>1250000</v>
      </c>
      <c r="Q6" s="9" t="inlineStr">
        <is>
          <t>IDR</t>
        </is>
      </c>
      <c r="R6" s="9">
        <f>J6*P6</f>
        <v/>
      </c>
      <c r="S6" s="9">
        <f>K6*P6</f>
        <v/>
      </c>
      <c r="T6" s="9">
        <f>M6*P6</f>
        <v/>
      </c>
      <c r="U6" s="8" t="n"/>
      <c r="V6" s="8" t="inlineStr">
        <is>
          <t>KRW</t>
        </is>
      </c>
    </row>
  </sheetData>
  <autoFilter ref="A5: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2026-10-28T03:34:20Z</dcterms:created>
  <dcterms:modified xmlns:dcterms="http://purl.org/dc/terms/" xmlns:xsi="http://www.w3.org/2001/XMLSchema-instance" xsi:type="dcterms:W3CDTF">2026-10-28T03:34:20Z</dcterms:modified>
</cp:coreProperties>
</file>