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-1 SAL04_Daily" sheetId="2" state="visible" r:id="rId2"/>
    <sheet xmlns:r="http://schemas.openxmlformats.org/officeDocument/2006/relationships" name="1-2 SAL04_Data" sheetId="3" state="visible" r:id="rId3"/>
    <sheet xmlns:r="http://schemas.openxmlformats.org/officeDocument/2006/relationships" name="3-1 FIN01_AR" sheetId="4" state="visible" r:id="rId4"/>
    <sheet xmlns:r="http://schemas.openxmlformats.org/officeDocument/2006/relationships" name="2-1 SAL05_Monthly" sheetId="5" state="visible" r:id="rId5"/>
  </sheets>
  <definedNames>
    <definedName name="_xlnm._FilterDatabase" localSheetId="1" hidden="1">'1-1 SAL04_Daily'!$A$5:$K$23</definedName>
    <definedName name="_xlnm._FilterDatabase" localSheetId="2" hidden="1">'1-2 SAL04_Data'!$A$5:$R$6</definedName>
    <definedName name="_xlnm._FilterDatabase" localSheetId="3" hidden="1">'3-1 FIN01_AR'!$A$5:$O$23</definedName>
    <definedName name="_xlnm._FilterDatabase" localSheetId="4" hidden="1">'2-1 SAL05_Monthly'!$A$5:$M$40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062C6"/>
      <sz val="12"/>
    </font>
    <font>
      <color rgb="00333333"/>
      <sz val="10"/>
    </font>
    <font>
      <b val="1"/>
      <color rgb="000062C6"/>
      <sz val="10"/>
    </font>
    <font>
      <b val="1"/>
      <color rgb="000062C6"/>
      <sz val="11"/>
    </font>
    <font>
      <b val="1"/>
      <color rgb="000062C6"/>
      <sz val="14"/>
    </font>
    <font>
      <color rgb="00666666"/>
      <sz val="9"/>
    </font>
    <font>
      <b val="1"/>
      <sz val="9"/>
    </font>
    <font>
      <sz val="9"/>
    </font>
    <font>
      <b val="1"/>
      <color rgb="000062C6"/>
    </font>
  </fonts>
  <fills count="5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F0F6FC"/>
      </patternFill>
    </fill>
    <fill>
      <patternFill patternType="solid">
        <fgColor rgb="00E6EFF9"/>
      </patternFill>
    </fill>
  </fills>
  <borders count="4">
    <border>
      <left/>
      <right/>
      <top/>
      <bottom/>
      <diagonal/>
    </border>
    <border>
      <top style="thin">
        <color rgb="00D6D6D6"/>
      </top>
      <bottom style="medium">
        <color rgb="000062C6"/>
      </bottom>
    </border>
    <border>
      <bottom style="thin">
        <color rgb="00D6D6D6"/>
      </bottom>
    </border>
    <border>
      <top style="medium">
        <color rgb="000062C6"/>
      </top>
      <bottom style="medium">
        <color rgb="000062C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2" pivotButton="0" quotePrefix="0" xfId="0"/>
    <xf numFmtId="3" fontId="8" fillId="0" borderId="2" applyAlignment="1" pivotButton="0" quotePrefix="0" xfId="0">
      <alignment horizontal="right"/>
    </xf>
    <xf numFmtId="0" fontId="7" fillId="4" borderId="3" pivotButton="0" quotePrefix="0" xfId="0"/>
    <xf numFmtId="3" fontId="7" fillId="4" borderId="3" applyAlignment="1" pivotButton="0" quotePrefix="0" xfId="0">
      <alignment horizontal="right"/>
    </xf>
    <xf numFmtId="0" fontId="9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ASM 지점 판매 보고서 엑셀 양식 (SBY · 요청 3종)</t>
        </is>
      </c>
    </row>
    <row r="2">
      <c r="A2" s="2" t="inlineStr">
        <is>
          <t>요청자: Sulastri (Surabaya Branch) · RR-20261027-004</t>
        </is>
      </c>
    </row>
    <row r="3">
      <c r="A3" s="2" t="inlineStr">
        <is>
          <t>용도: ASM ERP Reports 신규 보고서 엑셀 다운로드 출력 양식(안). 내부 관리용(필수문서 5종 아님).</t>
        </is>
      </c>
    </row>
    <row r="4">
      <c r="A4" s="2" t="inlineStr"/>
    </row>
    <row r="5">
      <c r="A5" s="3" t="inlineStr">
        <is>
          <t>시트 구성</t>
        </is>
      </c>
    </row>
    <row r="6">
      <c r="A6" s="2" t="inlineStr">
        <is>
          <t>1-1 SAL04_Daily : Daily Sales Report by Customer (지점 · PIC)</t>
        </is>
      </c>
    </row>
    <row r="7">
      <c r="A7" s="2" t="inlineStr">
        <is>
          <t>1-2 SAL04_Data : SO 라인 (Warehouse = SBY)</t>
        </is>
      </c>
    </row>
    <row r="8">
      <c r="A8" s="2" t="inlineStr">
        <is>
          <t>3-1 FIN01_AR : Weekly AR Summary by Customer (Invoice · 입금 연동 후)</t>
        </is>
      </c>
    </row>
    <row r="9">
      <c r="A9" s="2" t="inlineStr">
        <is>
          <t>2-1 SAL05_Monthly : Monthly Sales Summary I~IV (All · Net · by Person · Employee &amp; Cost)</t>
        </is>
      </c>
    </row>
    <row r="10">
      <c r="A10" s="2" t="inlineStr"/>
    </row>
    <row r="11">
      <c r="A11" s="3" t="inlineStr">
        <is>
          <t>규칙</t>
        </is>
      </c>
    </row>
    <row r="12">
      <c r="A12" s="2" t="inlineStr">
        <is>
          <t>- SAL-04 = 전사 SAL-02 Summary SO by Customer + Warehouse 필터 + PIC 열 (Merry 양식과 동일 쿼리)</t>
        </is>
      </c>
    </row>
    <row r="13">
      <c r="A13" s="2" t="inlineStr">
        <is>
          <t>- Net = Excluded Distributor 제외: CV. Arena Ban Indonesia · CV. Sumber Sakti · PT. Grand Prix Indoagung · PT. Jangkar Emas Teguh · PT. Sumber Sakti Prima Mandiri · CV. Aneka Roda Kencana</t>
        </is>
      </c>
    </row>
    <row r="14">
      <c r="A14" s="2" t="inlineStr">
        <is>
          <t>- IV 인원·Petty Cash는 수기 입력 · 금액 M.IDR(백만 루피아)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0" customWidth="1" min="3" max="3"/>
    <col width="11" customWidth="1" min="4" max="4"/>
    <col width="10" customWidth="1" min="5" max="5"/>
    <col width="36" customWidth="1" min="6" max="6"/>
    <col width="16" customWidth="1" min="7" max="7"/>
    <col width="10" customWidth="1" min="8" max="8"/>
    <col width="8" customWidth="1" min="9" max="9"/>
    <col width="11" customWidth="1" min="10" max="10"/>
    <col width="10" customWidth="1" min="11" max="11"/>
  </cols>
  <sheetData>
    <row r="1">
      <c r="A1" s="4" t="inlineStr">
        <is>
          <t>PT ASCENDO INTERNASIONAL · INTERNAL MANAGEMENT REPORT (ASM ERP)</t>
        </is>
      </c>
    </row>
    <row r="2">
      <c r="A2" s="5" t="inlineStr">
        <is>
          <t>SAL-04 Daily Sales Report by Customer — SBY · October 2026</t>
        </is>
      </c>
    </row>
    <row r="3">
      <c r="A3" s="6" t="inlineStr">
        <is>
          <t>요청자: Sulastri (Surabaya Branch) · RR-20261027-004  ·  ASM Menu: Reports › SALES › Summary SO by Customer › Warehouse = SBY  ·  Internal use only (필수문서 5종 아님)</t>
        </is>
      </c>
    </row>
    <row r="5" ht="30" customHeight="1">
      <c r="A5" s="7" t="inlineStr">
        <is>
          <t>Week</t>
        </is>
      </c>
      <c r="B5" s="7" t="inlineStr">
        <is>
          <t>Warehouse</t>
        </is>
      </c>
      <c r="C5" s="7" t="inlineStr">
        <is>
          <t>Category</t>
        </is>
      </c>
      <c r="D5" s="7" t="inlineStr">
        <is>
          <t>Brand</t>
        </is>
      </c>
      <c r="E5" s="7" t="inlineStr">
        <is>
          <t>Target Delivery</t>
        </is>
      </c>
      <c r="F5" s="7" t="inlineStr">
        <is>
          <t>Buyer</t>
        </is>
      </c>
      <c r="G5" s="7" t="inlineStr">
        <is>
          <t>PIC</t>
        </is>
      </c>
      <c r="H5" s="7" t="inlineStr">
        <is>
          <t>Target Qty</t>
        </is>
      </c>
      <c r="I5" s="7" t="inlineStr">
        <is>
          <t>SO</t>
        </is>
      </c>
      <c r="J5" s="7" t="inlineStr">
        <is>
          <t>Plan Delivery</t>
        </is>
      </c>
      <c r="K5" s="7" t="inlineStr">
        <is>
          <t>GAP SO−Plan</t>
        </is>
      </c>
    </row>
    <row r="6">
      <c r="A6" s="8" t="inlineStr">
        <is>
          <t>W-44</t>
        </is>
      </c>
      <c r="B6" s="8" t="inlineStr">
        <is>
          <t>SBY</t>
        </is>
      </c>
      <c r="C6" s="8" t="inlineStr">
        <is>
          <t>RADIAL</t>
        </is>
      </c>
      <c r="D6" s="8" t="inlineStr">
        <is>
          <t>ASCENDO</t>
        </is>
      </c>
      <c r="E6" s="8" t="inlineStr">
        <is>
          <t>OKTOBER</t>
        </is>
      </c>
      <c r="F6" s="8" t="inlineStr">
        <is>
          <t>PT. SERIM INDONESIA</t>
        </is>
      </c>
      <c r="G6" s="8" t="inlineStr">
        <is>
          <t>YONO</t>
        </is>
      </c>
      <c r="H6" s="9" t="n">
        <v>550</v>
      </c>
      <c r="I6" s="9" t="n">
        <v>8</v>
      </c>
      <c r="J6" s="9" t="n">
        <v>8</v>
      </c>
      <c r="K6" s="9" t="n">
        <v>0</v>
      </c>
    </row>
    <row r="7">
      <c r="A7" s="8" t="inlineStr">
        <is>
          <t>W-44</t>
        </is>
      </c>
      <c r="B7" s="8" t="inlineStr">
        <is>
          <t>SBY</t>
        </is>
      </c>
      <c r="C7" s="8" t="inlineStr">
        <is>
          <t>RADIAL</t>
        </is>
      </c>
      <c r="D7" s="8" t="inlineStr">
        <is>
          <t>ASCENDO</t>
        </is>
      </c>
      <c r="E7" s="8" t="inlineStr">
        <is>
          <t>OKTOBER</t>
        </is>
      </c>
      <c r="F7" s="8" t="inlineStr">
        <is>
          <t>PT. STARINDO JAYA MAKMUR</t>
        </is>
      </c>
      <c r="G7" s="8" t="inlineStr">
        <is>
          <t>YONO</t>
        </is>
      </c>
      <c r="H7" s="9" t="n">
        <v>550</v>
      </c>
      <c r="I7" s="9" t="n">
        <v>3</v>
      </c>
      <c r="J7" s="9" t="n">
        <v>3</v>
      </c>
      <c r="K7" s="9" t="n">
        <v>0</v>
      </c>
    </row>
    <row r="8">
      <c r="A8" s="8" t="inlineStr">
        <is>
          <t>W-44</t>
        </is>
      </c>
      <c r="B8" s="8" t="inlineStr">
        <is>
          <t>SBY</t>
        </is>
      </c>
      <c r="C8" s="8" t="inlineStr">
        <is>
          <t>RADIAL</t>
        </is>
      </c>
      <c r="D8" s="8" t="inlineStr">
        <is>
          <t>ASCENDO</t>
        </is>
      </c>
      <c r="E8" s="8" t="inlineStr">
        <is>
          <t>OKTOBER</t>
        </is>
      </c>
      <c r="F8" s="8" t="inlineStr">
        <is>
          <t>PT. STARINDO JAYA MAKMUR</t>
        </is>
      </c>
      <c r="G8" s="8" t="inlineStr">
        <is>
          <t>HARI</t>
        </is>
      </c>
      <c r="H8" s="9" t="n">
        <v>550</v>
      </c>
      <c r="I8" s="9" t="n">
        <v>4</v>
      </c>
      <c r="J8" s="9" t="n">
        <v>4</v>
      </c>
      <c r="K8" s="9" t="n">
        <v>0</v>
      </c>
    </row>
    <row r="9">
      <c r="A9" s="8" t="inlineStr">
        <is>
          <t>W-44</t>
        </is>
      </c>
      <c r="B9" s="8" t="inlineStr">
        <is>
          <t>SBY</t>
        </is>
      </c>
      <c r="C9" s="8" t="inlineStr">
        <is>
          <t>RADIAL</t>
        </is>
      </c>
      <c r="D9" s="8" t="inlineStr">
        <is>
          <t>ASCENDO</t>
        </is>
      </c>
      <c r="E9" s="8" t="inlineStr">
        <is>
          <t>OKTOBER</t>
        </is>
      </c>
      <c r="F9" s="8" t="inlineStr">
        <is>
          <t>CV. APTA SEJAHTERA MOTOR</t>
        </is>
      </c>
      <c r="G9" s="8" t="inlineStr">
        <is>
          <t>YONO</t>
        </is>
      </c>
      <c r="H9" s="9" t="n">
        <v>550</v>
      </c>
      <c r="I9" s="9" t="n">
        <v>4</v>
      </c>
      <c r="J9" s="9" t="n">
        <v>4</v>
      </c>
      <c r="K9" s="9" t="n">
        <v>0</v>
      </c>
    </row>
    <row r="10">
      <c r="A10" s="8" t="inlineStr">
        <is>
          <t>W-44</t>
        </is>
      </c>
      <c r="B10" s="8" t="inlineStr">
        <is>
          <t>SBY</t>
        </is>
      </c>
      <c r="C10" s="8" t="inlineStr">
        <is>
          <t>RADIAL</t>
        </is>
      </c>
      <c r="D10" s="8" t="inlineStr">
        <is>
          <t>ASCENDO</t>
        </is>
      </c>
      <c r="E10" s="8" t="inlineStr">
        <is>
          <t>OKTOBER</t>
        </is>
      </c>
      <c r="F10" s="8" t="inlineStr">
        <is>
          <t>CV. ANUGERAH MANDIRI BANGUN PERSADA</t>
        </is>
      </c>
      <c r="G10" s="8" t="inlineStr">
        <is>
          <t>HARI</t>
        </is>
      </c>
      <c r="H10" s="9" t="n">
        <v>550</v>
      </c>
      <c r="I10" s="9" t="n">
        <v>2</v>
      </c>
      <c r="J10" s="9" t="n">
        <v>2</v>
      </c>
      <c r="K10" s="9" t="n">
        <v>0</v>
      </c>
    </row>
    <row r="11">
      <c r="A11" s="8" t="inlineStr">
        <is>
          <t>W-44</t>
        </is>
      </c>
      <c r="B11" s="8" t="inlineStr">
        <is>
          <t>SBY</t>
        </is>
      </c>
      <c r="C11" s="8" t="inlineStr">
        <is>
          <t>RADIAL</t>
        </is>
      </c>
      <c r="D11" s="8" t="inlineStr">
        <is>
          <t>ASCENDO</t>
        </is>
      </c>
      <c r="E11" s="8" t="inlineStr">
        <is>
          <t>OKTOBER</t>
        </is>
      </c>
      <c r="F11" s="8" t="inlineStr">
        <is>
          <t>PT. SAMAS AGUNG TRANS</t>
        </is>
      </c>
      <c r="G11" s="8" t="inlineStr">
        <is>
          <t>YONO</t>
        </is>
      </c>
      <c r="H11" s="9" t="n">
        <v>550</v>
      </c>
      <c r="I11" s="9" t="n">
        <v>25</v>
      </c>
      <c r="J11" s="9" t="n">
        <v>25</v>
      </c>
      <c r="K11" s="9" t="n">
        <v>0</v>
      </c>
    </row>
    <row r="12">
      <c r="A12" s="8" t="inlineStr">
        <is>
          <t>W-44</t>
        </is>
      </c>
      <c r="B12" s="8" t="inlineStr">
        <is>
          <t>SBY</t>
        </is>
      </c>
      <c r="C12" s="8" t="inlineStr">
        <is>
          <t>RADIAL</t>
        </is>
      </c>
      <c r="D12" s="8" t="inlineStr">
        <is>
          <t>ASCENDO</t>
        </is>
      </c>
      <c r="E12" s="8" t="inlineStr">
        <is>
          <t>OKTOBER</t>
        </is>
      </c>
      <c r="F12" s="8" t="inlineStr">
        <is>
          <t>PT. TUGU BETON SEMESTA ABADI</t>
        </is>
      </c>
      <c r="G12" s="8" t="inlineStr">
        <is>
          <t>YONO</t>
        </is>
      </c>
      <c r="H12" s="9" t="n">
        <v>550</v>
      </c>
      <c r="I12" s="9" t="n">
        <v>1</v>
      </c>
      <c r="J12" s="9" t="n">
        <v>1</v>
      </c>
      <c r="K12" s="9" t="n">
        <v>0</v>
      </c>
    </row>
    <row r="13">
      <c r="A13" s="8" t="inlineStr">
        <is>
          <t>W-44</t>
        </is>
      </c>
      <c r="B13" s="8" t="inlineStr">
        <is>
          <t>SBY</t>
        </is>
      </c>
      <c r="C13" s="8" t="inlineStr">
        <is>
          <t>RADIAL</t>
        </is>
      </c>
      <c r="D13" s="8" t="inlineStr">
        <is>
          <t>ASCENDO Total</t>
        </is>
      </c>
      <c r="E13" s="8" t="inlineStr"/>
      <c r="F13" s="8" t="inlineStr"/>
      <c r="G13" s="8" t="inlineStr"/>
      <c r="H13" s="9" t="n">
        <v>550</v>
      </c>
      <c r="I13" s="9" t="n">
        <v>47</v>
      </c>
      <c r="J13" s="9" t="n">
        <v>47</v>
      </c>
      <c r="K13" s="9" t="n">
        <v>0</v>
      </c>
    </row>
    <row r="14">
      <c r="A14" s="8" t="inlineStr">
        <is>
          <t>W-44</t>
        </is>
      </c>
      <c r="B14" s="8" t="inlineStr">
        <is>
          <t>SBY</t>
        </is>
      </c>
      <c r="C14" s="8" t="inlineStr">
        <is>
          <t>RADIAL</t>
        </is>
      </c>
      <c r="D14" s="8" t="inlineStr">
        <is>
          <t>TECHKING</t>
        </is>
      </c>
      <c r="E14" s="8" t="inlineStr">
        <is>
          <t>OKTOBER</t>
        </is>
      </c>
      <c r="F14" s="8" t="inlineStr">
        <is>
          <t>PT. STARINDO JAYA MAKMUR</t>
        </is>
      </c>
      <c r="G14" s="8" t="inlineStr">
        <is>
          <t>YONO</t>
        </is>
      </c>
      <c r="H14" s="9" t="n">
        <v>550</v>
      </c>
      <c r="I14" s="9" t="n">
        <v>37</v>
      </c>
      <c r="J14" s="9" t="n">
        <v>37</v>
      </c>
      <c r="K14" s="9" t="n">
        <v>0</v>
      </c>
    </row>
    <row r="15">
      <c r="A15" s="8" t="inlineStr">
        <is>
          <t>W-44</t>
        </is>
      </c>
      <c r="B15" s="8" t="inlineStr">
        <is>
          <t>SBY</t>
        </is>
      </c>
      <c r="C15" s="8" t="inlineStr">
        <is>
          <t>RADIAL</t>
        </is>
      </c>
      <c r="D15" s="8" t="inlineStr">
        <is>
          <t>TECHKING</t>
        </is>
      </c>
      <c r="E15" s="8" t="inlineStr">
        <is>
          <t>OKTOBER</t>
        </is>
      </c>
      <c r="F15" s="8" t="inlineStr">
        <is>
          <t>PT. STARINDO JAYA MAKMUR</t>
        </is>
      </c>
      <c r="G15" s="8" t="inlineStr">
        <is>
          <t>HARI</t>
        </is>
      </c>
      <c r="H15" s="9" t="n">
        <v>550</v>
      </c>
      <c r="I15" s="9" t="n">
        <v>18</v>
      </c>
      <c r="J15" s="9" t="n">
        <v>18</v>
      </c>
      <c r="K15" s="9" t="n">
        <v>0</v>
      </c>
    </row>
    <row r="16">
      <c r="A16" s="8" t="inlineStr">
        <is>
          <t>W-44</t>
        </is>
      </c>
      <c r="B16" s="8" t="inlineStr">
        <is>
          <t>SBY</t>
        </is>
      </c>
      <c r="C16" s="8" t="inlineStr">
        <is>
          <t>AGR</t>
        </is>
      </c>
      <c r="D16" s="8" t="inlineStr">
        <is>
          <t>ASCENDO</t>
        </is>
      </c>
      <c r="E16" s="8" t="inlineStr">
        <is>
          <t>OKTOBER</t>
        </is>
      </c>
      <c r="F16" s="8" t="inlineStr">
        <is>
          <t>CV. INDO MADJU PERKASA</t>
        </is>
      </c>
      <c r="G16" s="8" t="inlineStr">
        <is>
          <t>YONO</t>
        </is>
      </c>
      <c r="H16" s="9" t="n">
        <v>500</v>
      </c>
      <c r="I16" s="9" t="n">
        <v>12</v>
      </c>
      <c r="J16" s="9" t="n">
        <v>12</v>
      </c>
      <c r="K16" s="9" t="n">
        <v>0</v>
      </c>
    </row>
    <row r="17">
      <c r="A17" s="8" t="inlineStr">
        <is>
          <t>W-44</t>
        </is>
      </c>
      <c r="B17" s="8" t="inlineStr">
        <is>
          <t>SBY</t>
        </is>
      </c>
      <c r="C17" s="8" t="inlineStr">
        <is>
          <t>OTR</t>
        </is>
      </c>
      <c r="D17" s="8" t="inlineStr">
        <is>
          <t>ASCENDO</t>
        </is>
      </c>
      <c r="E17" s="8" t="inlineStr">
        <is>
          <t>OKTOBER</t>
        </is>
      </c>
      <c r="F17" s="8" t="inlineStr">
        <is>
          <t>PT. CITRA PRATAMA MURNIBAN</t>
        </is>
      </c>
      <c r="G17" s="8" t="inlineStr">
        <is>
          <t>HARI</t>
        </is>
      </c>
      <c r="H17" s="9" t="n">
        <v>0</v>
      </c>
      <c r="I17" s="9" t="n">
        <v>1</v>
      </c>
      <c r="J17" s="9" t="n">
        <v>1</v>
      </c>
      <c r="K17" s="9" t="n">
        <v>0</v>
      </c>
    </row>
    <row r="18">
      <c r="A18" s="8" t="inlineStr">
        <is>
          <t>W-44</t>
        </is>
      </c>
      <c r="B18" s="8" t="inlineStr">
        <is>
          <t>SBY</t>
        </is>
      </c>
      <c r="C18" s="8" t="inlineStr">
        <is>
          <t>BIAS</t>
        </is>
      </c>
      <c r="D18" s="8" t="inlineStr">
        <is>
          <t>ASCENDO Total</t>
        </is>
      </c>
      <c r="E18" s="8" t="inlineStr"/>
      <c r="F18" s="8" t="inlineStr">
        <is>
          <t>3 buyers</t>
        </is>
      </c>
      <c r="G18" s="8" t="inlineStr"/>
      <c r="H18" s="9" t="n">
        <v>500</v>
      </c>
      <c r="I18" s="9" t="n">
        <v>44</v>
      </c>
      <c r="J18" s="9" t="n">
        <v>44</v>
      </c>
      <c r="K18" s="9" t="n">
        <v>0</v>
      </c>
    </row>
    <row r="19">
      <c r="A19" s="8" t="inlineStr">
        <is>
          <t>W-44</t>
        </is>
      </c>
      <c r="B19" s="8" t="inlineStr">
        <is>
          <t>SBY</t>
        </is>
      </c>
      <c r="C19" s="8" t="inlineStr">
        <is>
          <t>BIAS</t>
        </is>
      </c>
      <c r="D19" s="8" t="inlineStr">
        <is>
          <t>TIRON Total</t>
        </is>
      </c>
      <c r="E19" s="8" t="inlineStr"/>
      <c r="F19" s="8" t="inlineStr">
        <is>
          <t>7 buyers</t>
        </is>
      </c>
      <c r="G19" s="8" t="inlineStr"/>
      <c r="H19" s="9" t="n">
        <v>500</v>
      </c>
      <c r="I19" s="9" t="n">
        <v>110</v>
      </c>
      <c r="J19" s="9" t="n">
        <v>110</v>
      </c>
      <c r="K19" s="9" t="n">
        <v>0</v>
      </c>
    </row>
    <row r="20">
      <c r="A20" s="8" t="inlineStr">
        <is>
          <t>W-44</t>
        </is>
      </c>
      <c r="B20" s="8" t="inlineStr">
        <is>
          <t>SBY</t>
        </is>
      </c>
      <c r="C20" s="8" t="inlineStr">
        <is>
          <t>SOLID</t>
        </is>
      </c>
      <c r="D20" s="8" t="inlineStr">
        <is>
          <t>SOLID</t>
        </is>
      </c>
      <c r="E20" s="8" t="inlineStr">
        <is>
          <t>OKTOBER</t>
        </is>
      </c>
      <c r="F20" s="8" t="inlineStr">
        <is>
          <t>PT. STARINDO JAYA MAKMUR</t>
        </is>
      </c>
      <c r="G20" s="8" t="inlineStr">
        <is>
          <t>HARI</t>
        </is>
      </c>
      <c r="H20" s="9" t="n">
        <v>200</v>
      </c>
      <c r="I20" s="9" t="n">
        <v>2</v>
      </c>
      <c r="J20" s="9" t="n">
        <v>2</v>
      </c>
      <c r="K20" s="9" t="n">
        <v>0</v>
      </c>
    </row>
    <row r="21">
      <c r="A21" s="8" t="inlineStr">
        <is>
          <t>W-44</t>
        </is>
      </c>
      <c r="B21" s="8" t="inlineStr">
        <is>
          <t>SBY</t>
        </is>
      </c>
      <c r="C21" s="8" t="inlineStr">
        <is>
          <t>TUBE</t>
        </is>
      </c>
      <c r="D21" s="8" t="inlineStr">
        <is>
          <t>ASCENDO Total</t>
        </is>
      </c>
      <c r="E21" s="8" t="inlineStr"/>
      <c r="F21" s="8" t="inlineStr">
        <is>
          <t>20 buyers</t>
        </is>
      </c>
      <c r="G21" s="8" t="inlineStr"/>
      <c r="H21" s="9" t="n">
        <v>350</v>
      </c>
      <c r="I21" s="9" t="n">
        <v>602</v>
      </c>
      <c r="J21" s="9" t="n">
        <v>602</v>
      </c>
      <c r="K21" s="9" t="n">
        <v>0</v>
      </c>
    </row>
    <row r="22">
      <c r="A22" s="8" t="inlineStr">
        <is>
          <t>W-44</t>
        </is>
      </c>
      <c r="B22" s="8" t="inlineStr">
        <is>
          <t>SBY</t>
        </is>
      </c>
      <c r="C22" s="8" t="inlineStr">
        <is>
          <t>TUBE</t>
        </is>
      </c>
      <c r="D22" s="8" t="inlineStr">
        <is>
          <t>DIAMOND Total</t>
        </is>
      </c>
      <c r="E22" s="8" t="inlineStr"/>
      <c r="F22" s="8" t="inlineStr">
        <is>
          <t>3 buyers</t>
        </is>
      </c>
      <c r="G22" s="8" t="inlineStr"/>
      <c r="H22" s="9" t="n">
        <v>350</v>
      </c>
      <c r="I22" s="9" t="n">
        <v>88</v>
      </c>
      <c r="J22" s="9" t="n">
        <v>88</v>
      </c>
      <c r="K22" s="9" t="n">
        <v>0</v>
      </c>
    </row>
    <row r="23">
      <c r="A23" s="8" t="inlineStr">
        <is>
          <t>W-44</t>
        </is>
      </c>
      <c r="B23" s="8" t="inlineStr">
        <is>
          <t>SBY</t>
        </is>
      </c>
      <c r="C23" s="8" t="inlineStr">
        <is>
          <t>FLAP</t>
        </is>
      </c>
      <c r="D23" s="8" t="inlineStr">
        <is>
          <t>ASCENDO Total</t>
        </is>
      </c>
      <c r="E23" s="8" t="inlineStr"/>
      <c r="F23" s="8" t="inlineStr">
        <is>
          <t>21 buyers</t>
        </is>
      </c>
      <c r="G23" s="8" t="inlineStr"/>
      <c r="H23" s="9" t="n">
        <v>350</v>
      </c>
      <c r="I23" s="9" t="n">
        <v>385</v>
      </c>
      <c r="J23" s="9" t="n">
        <v>385</v>
      </c>
      <c r="K23" s="9" t="n">
        <v>0</v>
      </c>
    </row>
    <row r="24">
      <c r="A24" s="10" t="inlineStr">
        <is>
          <t>Grand Total</t>
        </is>
      </c>
      <c r="B24" s="10" t="inlineStr"/>
      <c r="C24" s="10" t="inlineStr"/>
      <c r="D24" s="10" t="inlineStr"/>
      <c r="E24" s="10" t="inlineStr"/>
      <c r="F24" s="10" t="inlineStr"/>
      <c r="G24" s="10" t="inlineStr"/>
      <c r="H24" s="11" t="n"/>
      <c r="I24" s="11" t="n">
        <v>1346</v>
      </c>
      <c r="J24" s="11" t="n">
        <v>1346</v>
      </c>
      <c r="K24" s="11" t="n">
        <v>0</v>
      </c>
    </row>
  </sheetData>
  <autoFilter ref="A5:K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8" customWidth="1" min="4" max="4"/>
    <col width="28" customWidth="1" min="5" max="5"/>
    <col width="12" customWidth="1" min="6" max="6"/>
    <col width="16" customWidth="1" min="7" max="7"/>
    <col width="9" customWidth="1" min="8" max="8"/>
    <col width="10" customWidth="1" min="9" max="9"/>
    <col width="16" customWidth="1" min="10" max="10"/>
    <col width="26" customWidth="1" min="11" max="11"/>
    <col width="8" customWidth="1" min="12" max="12"/>
    <col width="11" customWidth="1" min="13" max="13"/>
    <col width="8" customWidth="1" min="14" max="14"/>
    <col width="16" customWidth="1" min="15" max="15"/>
    <col width="9" customWidth="1" min="16" max="16"/>
    <col width="8" customWidth="1" min="17" max="17"/>
    <col width="10" customWidth="1" min="18" max="18"/>
  </cols>
  <sheetData>
    <row r="1">
      <c r="A1" s="4" t="inlineStr">
        <is>
          <t>PT ASCENDO INTERNASIONAL · INTERNAL MANAGEMENT REPORT (ASM ERP)</t>
        </is>
      </c>
    </row>
    <row r="2">
      <c r="A2" s="5" t="inlineStr">
        <is>
          <t>SAL-04 Data : Sales Order line (Warehouse = SBY)</t>
        </is>
      </c>
    </row>
    <row r="3">
      <c r="A3" s="6" t="inlineStr">
        <is>
          <t>요청자: Sulastri (Surabaya Branch) · RR-20261027-004  ·  ASM Menu: Sales › Sales Order  ·  Internal use only (필수문서 5종 아님)</t>
        </is>
      </c>
    </row>
    <row r="5" ht="30" customHeight="1">
      <c r="A5" s="7" t="inlineStr">
        <is>
          <t>SO No</t>
        </is>
      </c>
      <c r="B5" s="7" t="inlineStr">
        <is>
          <t>SO Date</t>
        </is>
      </c>
      <c r="C5" s="7" t="inlineStr">
        <is>
          <t>Target Delivery Month</t>
        </is>
      </c>
      <c r="D5" s="7" t="inlineStr">
        <is>
          <t>Warehouse</t>
        </is>
      </c>
      <c r="E5" s="7" t="inlineStr">
        <is>
          <t>Customer</t>
        </is>
      </c>
      <c r="F5" s="7" t="inlineStr">
        <is>
          <t>PIC</t>
        </is>
      </c>
      <c r="G5" s="7" t="inlineStr">
        <is>
          <t>Cust PO No</t>
        </is>
      </c>
      <c r="H5" s="7" t="inlineStr">
        <is>
          <t>Category</t>
        </is>
      </c>
      <c r="I5" s="7" t="inlineStr">
        <is>
          <t>Brand</t>
        </is>
      </c>
      <c r="J5" s="7" t="inlineStr">
        <is>
          <t>Product Code</t>
        </is>
      </c>
      <c r="K5" s="7" t="inlineStr">
        <is>
          <t>Description</t>
        </is>
      </c>
      <c r="L5" s="7" t="inlineStr">
        <is>
          <t>SO Qty</t>
        </is>
      </c>
      <c r="M5" s="7" t="inlineStr">
        <is>
          <t>Plan ETD</t>
        </is>
      </c>
      <c r="N5" s="7" t="inlineStr">
        <is>
          <t>Plan Qty</t>
        </is>
      </c>
      <c r="O5" s="7" t="inlineStr">
        <is>
          <t>DN No</t>
        </is>
      </c>
      <c r="P5" s="7" t="inlineStr">
        <is>
          <t>Aktual Qty</t>
        </is>
      </c>
      <c r="Q5" s="7" t="inlineStr">
        <is>
          <t>Balance</t>
        </is>
      </c>
      <c r="R5" s="7" t="inlineStr">
        <is>
          <t>Status</t>
        </is>
      </c>
    </row>
    <row r="6">
      <c r="A6" s="8" t="inlineStr"/>
      <c r="B6" s="8" t="inlineStr"/>
      <c r="C6" s="8" t="inlineStr">
        <is>
          <t>2026-10</t>
        </is>
      </c>
      <c r="D6" s="8" t="inlineStr">
        <is>
          <t>SBY</t>
        </is>
      </c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n"/>
      <c r="M6" s="8" t="inlineStr"/>
      <c r="N6" s="8" t="n"/>
      <c r="O6" s="8" t="inlineStr"/>
      <c r="P6" s="8" t="n"/>
      <c r="Q6" s="9">
        <f>L6-P6</f>
        <v/>
      </c>
      <c r="R6" s="8" t="inlineStr"/>
    </row>
  </sheetData>
  <autoFilter ref="A5:R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5" customWidth="1" min="3" max="3"/>
    <col width="34" customWidth="1" min="4" max="4"/>
    <col width="16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8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4" t="inlineStr">
        <is>
          <t>PT ASCENDO INTERNASIONAL · INTERNAL MANAGEMENT REPORT (ASM ERP)</t>
        </is>
      </c>
    </row>
    <row r="2">
      <c r="A2" s="5" t="inlineStr">
        <is>
          <t>FIN-01 Weekly AR Summary by Customer — SBY · as of 2026-10-23</t>
        </is>
      </c>
    </row>
    <row r="3">
      <c r="A3" s="6" t="inlineStr">
        <is>
          <t>요청자: Sulastri (Surabaya Branch) · RR-20261027-004  ·  ASM Menu: Reports › FINANCE › AR Summary (데이터 연동 후)  ·  Internal use only (필수문서 5종 아님)</t>
        </is>
      </c>
    </row>
    <row r="5" ht="30" customHeight="1">
      <c r="A5" s="7" t="inlineStr">
        <is>
          <t>As Of</t>
        </is>
      </c>
      <c r="B5" s="7" t="inlineStr">
        <is>
          <t>Branch</t>
        </is>
      </c>
      <c r="C5" s="7" t="inlineStr">
        <is>
          <t>No</t>
        </is>
      </c>
      <c r="D5" s="7" t="inlineStr">
        <is>
          <t>Customer</t>
        </is>
      </c>
      <c r="E5" s="7" t="inlineStr">
        <is>
          <t>Beginning AR (2025-12-31)</t>
        </is>
      </c>
      <c r="F5" s="7" t="inlineStr">
        <is>
          <t>Sales This Month</t>
        </is>
      </c>
      <c r="G5" s="7" t="inlineStr">
        <is>
          <t>Sales Accumulated</t>
        </is>
      </c>
      <c r="H5" s="7" t="inlineStr">
        <is>
          <t>Income This Month</t>
        </is>
      </c>
      <c r="I5" s="7" t="inlineStr">
        <is>
          <t>Income Accumulated</t>
        </is>
      </c>
      <c r="J5" s="7" t="inlineStr">
        <is>
          <t>Ending AR</t>
        </is>
      </c>
      <c r="K5" s="7" t="inlineStr">
        <is>
          <t>Status</t>
        </is>
      </c>
      <c r="L5" s="7" t="inlineStr">
        <is>
          <t>Aging 0-30</t>
        </is>
      </c>
      <c r="M5" s="7" t="inlineStr">
        <is>
          <t>Aging 31-60</t>
        </is>
      </c>
      <c r="N5" s="7" t="inlineStr">
        <is>
          <t>Aging 61-90</t>
        </is>
      </c>
      <c r="O5" s="7" t="inlineStr">
        <is>
          <t>Aging &gt;90</t>
        </is>
      </c>
    </row>
    <row r="6">
      <c r="A6" s="8" t="inlineStr">
        <is>
          <t>2026-10-23</t>
        </is>
      </c>
      <c r="B6" s="8" t="inlineStr">
        <is>
          <t>SBY</t>
        </is>
      </c>
      <c r="C6" s="8" t="n">
        <v>1</v>
      </c>
      <c r="D6" s="8" t="inlineStr">
        <is>
          <t>PT. EKA PS</t>
        </is>
      </c>
      <c r="E6" s="9" t="n">
        <v>276325000</v>
      </c>
      <c r="F6" s="9" t="n">
        <v>71120000</v>
      </c>
      <c r="G6" s="9" t="n">
        <v>714905000</v>
      </c>
      <c r="H6" s="9" t="n">
        <v>135400000</v>
      </c>
      <c r="I6" s="9" t="n">
        <v>825190000</v>
      </c>
      <c r="J6" s="9">
        <f>E6+G6-I6</f>
        <v/>
      </c>
      <c r="K6" s="9">
        <f>IF(J6&gt;0,"OPEN","CLEAR")</f>
        <v/>
      </c>
      <c r="L6" s="8" t="n"/>
      <c r="M6" s="8" t="n"/>
      <c r="N6" s="8" t="n"/>
      <c r="O6" s="8" t="n"/>
    </row>
    <row r="7">
      <c r="A7" s="8" t="inlineStr">
        <is>
          <t>2026-10-23</t>
        </is>
      </c>
      <c r="B7" s="8" t="inlineStr">
        <is>
          <t>SBY</t>
        </is>
      </c>
      <c r="C7" s="8" t="n">
        <v>2</v>
      </c>
      <c r="D7" s="8" t="inlineStr">
        <is>
          <t>POLING LINDAJATI, ST</t>
        </is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>
        <f>E7+G7-I7</f>
        <v/>
      </c>
      <c r="K7" s="9">
        <f>IF(J7&gt;0,"OPEN","CLEAR")</f>
        <v/>
      </c>
      <c r="L7" s="8" t="n"/>
      <c r="M7" s="8" t="n"/>
      <c r="N7" s="8" t="n"/>
      <c r="O7" s="8" t="n"/>
    </row>
    <row r="8">
      <c r="A8" s="8" t="inlineStr">
        <is>
          <t>2026-10-23</t>
        </is>
      </c>
      <c r="B8" s="8" t="inlineStr">
        <is>
          <t>SBY</t>
        </is>
      </c>
      <c r="C8" s="8" t="n">
        <v>3</v>
      </c>
      <c r="D8" s="8" t="inlineStr">
        <is>
          <t>LAS TRANSPORT</t>
        </is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>
        <f>E8+G8-I8</f>
        <v/>
      </c>
      <c r="K8" s="9">
        <f>IF(J8&gt;0,"OPEN","CLEAR")</f>
        <v/>
      </c>
      <c r="L8" s="8" t="n"/>
      <c r="M8" s="8" t="n"/>
      <c r="N8" s="8" t="n"/>
      <c r="O8" s="8" t="n"/>
    </row>
    <row r="9">
      <c r="A9" s="8" t="inlineStr">
        <is>
          <t>2026-10-23</t>
        </is>
      </c>
      <c r="B9" s="8" t="inlineStr">
        <is>
          <t>SBY</t>
        </is>
      </c>
      <c r="C9" s="8" t="n">
        <v>4</v>
      </c>
      <c r="D9" s="8" t="inlineStr">
        <is>
          <t>DWI AGUS SUSILO</t>
        </is>
      </c>
      <c r="E9" s="9" t="n">
        <v>0</v>
      </c>
      <c r="F9" s="9" t="n">
        <v>3250000</v>
      </c>
      <c r="G9" s="9" t="n">
        <v>22750000</v>
      </c>
      <c r="H9" s="9" t="n">
        <v>3250000</v>
      </c>
      <c r="I9" s="9" t="n">
        <v>22750000</v>
      </c>
      <c r="J9" s="9">
        <f>E9+G9-I9</f>
        <v/>
      </c>
      <c r="K9" s="9">
        <f>IF(J9&gt;0,"OPEN","CLEAR")</f>
        <v/>
      </c>
      <c r="L9" s="8" t="n"/>
      <c r="M9" s="8" t="n"/>
      <c r="N9" s="8" t="n"/>
      <c r="O9" s="8" t="n"/>
    </row>
    <row r="10">
      <c r="A10" s="8" t="inlineStr">
        <is>
          <t>2026-10-23</t>
        </is>
      </c>
      <c r="B10" s="8" t="inlineStr">
        <is>
          <t>SBY</t>
        </is>
      </c>
      <c r="C10" s="8" t="n">
        <v>5</v>
      </c>
      <c r="D10" s="8" t="inlineStr">
        <is>
          <t>DWI EKA SUTRESNA</t>
        </is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>
        <f>E10+G10-I10</f>
        <v/>
      </c>
      <c r="K10" s="9">
        <f>IF(J10&gt;0,"OPEN","CLEAR")</f>
        <v/>
      </c>
      <c r="L10" s="8" t="n"/>
      <c r="M10" s="8" t="n"/>
      <c r="N10" s="8" t="n"/>
      <c r="O10" s="8" t="n"/>
    </row>
    <row r="11">
      <c r="A11" s="8" t="inlineStr">
        <is>
          <t>2026-10-23</t>
        </is>
      </c>
      <c r="B11" s="8" t="inlineStr">
        <is>
          <t>SBY</t>
        </is>
      </c>
      <c r="C11" s="8" t="n">
        <v>6</v>
      </c>
      <c r="D11" s="8" t="inlineStr">
        <is>
          <t>FADILAH WIDIARSANTI</t>
        </is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>
        <f>E11+G11-I11</f>
        <v/>
      </c>
      <c r="K11" s="9">
        <f>IF(J11&gt;0,"OPEN","CLEAR")</f>
        <v/>
      </c>
      <c r="L11" s="8" t="n"/>
      <c r="M11" s="8" t="n"/>
      <c r="N11" s="8" t="n"/>
      <c r="O11" s="8" t="n"/>
    </row>
    <row r="12">
      <c r="A12" s="8" t="inlineStr">
        <is>
          <t>2026-10-23</t>
        </is>
      </c>
      <c r="B12" s="8" t="inlineStr">
        <is>
          <t>SBY</t>
        </is>
      </c>
      <c r="C12" s="8" t="n">
        <v>7</v>
      </c>
      <c r="D12" s="8" t="inlineStr">
        <is>
          <t>PAK BAYU</t>
        </is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>
        <f>E12+G12-I12</f>
        <v/>
      </c>
      <c r="K12" s="9">
        <f>IF(J12&gt;0,"OPEN","CLEAR")</f>
        <v/>
      </c>
      <c r="L12" s="8" t="n"/>
      <c r="M12" s="8" t="n"/>
      <c r="N12" s="8" t="n"/>
      <c r="O12" s="8" t="n"/>
    </row>
    <row r="13">
      <c r="A13" s="8" t="inlineStr">
        <is>
          <t>2026-10-23</t>
        </is>
      </c>
      <c r="B13" s="8" t="inlineStr">
        <is>
          <t>SBY</t>
        </is>
      </c>
      <c r="C13" s="8" t="n">
        <v>8</v>
      </c>
      <c r="D13" s="8" t="inlineStr">
        <is>
          <t>PT. BUNGA DARU</t>
        </is>
      </c>
      <c r="E13" s="9" t="n">
        <v>0</v>
      </c>
      <c r="F13" s="9" t="n">
        <v>13120000</v>
      </c>
      <c r="G13" s="9" t="n">
        <v>417910000</v>
      </c>
      <c r="H13" s="9" t="n">
        <v>53550000</v>
      </c>
      <c r="I13" s="9" t="n">
        <v>404790000</v>
      </c>
      <c r="J13" s="9">
        <f>E13+G13-I13</f>
        <v/>
      </c>
      <c r="K13" s="9">
        <f>IF(J13&gt;0,"OPEN","CLEAR")</f>
        <v/>
      </c>
      <c r="L13" s="8" t="n"/>
      <c r="M13" s="8" t="n"/>
      <c r="N13" s="8" t="n"/>
      <c r="O13" s="8" t="n"/>
    </row>
    <row r="14">
      <c r="A14" s="8" t="inlineStr">
        <is>
          <t>2026-10-23</t>
        </is>
      </c>
      <c r="B14" s="8" t="inlineStr">
        <is>
          <t>SBY</t>
        </is>
      </c>
      <c r="C14" s="8" t="n">
        <v>9</v>
      </c>
      <c r="D14" s="8" t="inlineStr">
        <is>
          <t>AGUNG TRANSPORT</t>
        </is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>
        <f>E14+G14-I14</f>
        <v/>
      </c>
      <c r="K14" s="9">
        <f>IF(J14&gt;0,"OPEN","CLEAR")</f>
        <v/>
      </c>
      <c r="L14" s="8" t="n"/>
      <c r="M14" s="8" t="n"/>
      <c r="N14" s="8" t="n"/>
      <c r="O14" s="8" t="n"/>
    </row>
    <row r="15">
      <c r="A15" s="8" t="inlineStr">
        <is>
          <t>2026-10-23</t>
        </is>
      </c>
      <c r="B15" s="8" t="inlineStr">
        <is>
          <t>SBY</t>
        </is>
      </c>
      <c r="C15" s="8" t="n">
        <v>10</v>
      </c>
      <c r="D15" s="8" t="inlineStr">
        <is>
          <t>PT. MAHAKARYA JASA UTAMA M</t>
        </is>
      </c>
      <c r="E15" s="9" t="n">
        <v>48000000</v>
      </c>
      <c r="F15" s="9" t="n">
        <v>0</v>
      </c>
      <c r="G15" s="9" t="n">
        <v>105600000</v>
      </c>
      <c r="H15" s="9" t="n">
        <v>0</v>
      </c>
      <c r="I15" s="9" t="n">
        <v>153600000</v>
      </c>
      <c r="J15" s="9">
        <f>E15+G15-I15</f>
        <v/>
      </c>
      <c r="K15" s="9">
        <f>IF(J15&gt;0,"OPEN","CLEAR")</f>
        <v/>
      </c>
      <c r="L15" s="8" t="n"/>
      <c r="M15" s="8" t="n"/>
      <c r="N15" s="8" t="n"/>
      <c r="O15" s="8" t="n"/>
    </row>
    <row r="16">
      <c r="A16" s="8" t="inlineStr">
        <is>
          <t>2026-10-23</t>
        </is>
      </c>
      <c r="B16" s="8" t="inlineStr">
        <is>
          <t>SBY</t>
        </is>
      </c>
      <c r="C16" s="8" t="n">
        <v>11</v>
      </c>
      <c r="D16" s="8" t="inlineStr">
        <is>
          <t>PT. AMANAH TRANSMULIA MANDIRI</t>
        </is>
      </c>
      <c r="E16" s="9" t="n">
        <v>14040000</v>
      </c>
      <c r="F16" s="9" t="n">
        <v>0</v>
      </c>
      <c r="G16" s="9" t="n">
        <v>15600000</v>
      </c>
      <c r="H16" s="9" t="n">
        <v>0</v>
      </c>
      <c r="I16" s="9" t="n">
        <v>29640000</v>
      </c>
      <c r="J16" s="9">
        <f>E16+G16-I16</f>
        <v/>
      </c>
      <c r="K16" s="9">
        <f>IF(J16&gt;0,"OPEN","CLEAR")</f>
        <v/>
      </c>
      <c r="L16" s="8" t="n"/>
      <c r="M16" s="8" t="n"/>
      <c r="N16" s="8" t="n"/>
      <c r="O16" s="8" t="n"/>
    </row>
    <row r="17">
      <c r="A17" s="8" t="inlineStr">
        <is>
          <t>2026-10-23</t>
        </is>
      </c>
      <c r="B17" s="8" t="inlineStr">
        <is>
          <t>SBY</t>
        </is>
      </c>
      <c r="C17" s="8" t="n">
        <v>12</v>
      </c>
      <c r="D17" s="8" t="inlineStr">
        <is>
          <t>MARWIN CANDRA GUNAWAN</t>
        </is>
      </c>
      <c r="E17" s="9" t="n">
        <v>0</v>
      </c>
      <c r="F17" s="9" t="n">
        <v>17875000</v>
      </c>
      <c r="G17" s="9" t="n">
        <v>49500000</v>
      </c>
      <c r="H17" s="9" t="n">
        <v>17875000</v>
      </c>
      <c r="I17" s="9" t="n">
        <v>49500000</v>
      </c>
      <c r="J17" s="9">
        <f>E17+G17-I17</f>
        <v/>
      </c>
      <c r="K17" s="9">
        <f>IF(J17&gt;0,"OPEN","CLEAR")</f>
        <v/>
      </c>
      <c r="L17" s="8" t="n"/>
      <c r="M17" s="8" t="n"/>
      <c r="N17" s="8" t="n"/>
      <c r="O17" s="8" t="n"/>
    </row>
    <row r="18">
      <c r="A18" s="8" t="inlineStr">
        <is>
          <t>2026-10-23</t>
        </is>
      </c>
      <c r="B18" s="8" t="inlineStr">
        <is>
          <t>SBY</t>
        </is>
      </c>
      <c r="C18" s="8" t="n">
        <v>13</v>
      </c>
      <c r="D18" s="8" t="inlineStr">
        <is>
          <t>SAFA SAFRIANSYAH</t>
        </is>
      </c>
      <c r="E18" s="9" t="n">
        <v>0</v>
      </c>
      <c r="F18" s="9" t="n">
        <v>0</v>
      </c>
      <c r="G18" s="9" t="n">
        <v>6240000</v>
      </c>
      <c r="H18" s="9" t="n">
        <v>0</v>
      </c>
      <c r="I18" s="9" t="n">
        <v>6240000</v>
      </c>
      <c r="J18" s="9">
        <f>E18+G18-I18</f>
        <v/>
      </c>
      <c r="K18" s="9">
        <f>IF(J18&gt;0,"OPEN","CLEAR")</f>
        <v/>
      </c>
      <c r="L18" s="8" t="n"/>
      <c r="M18" s="8" t="n"/>
      <c r="N18" s="8" t="n"/>
      <c r="O18" s="8" t="n"/>
    </row>
    <row r="19">
      <c r="A19" s="8" t="inlineStr">
        <is>
          <t>2026-10-23</t>
        </is>
      </c>
      <c r="B19" s="8" t="inlineStr">
        <is>
          <t>SBY</t>
        </is>
      </c>
      <c r="C19" s="8" t="n">
        <v>14</v>
      </c>
      <c r="D19" s="8" t="inlineStr">
        <is>
          <t>CV. DAUN MAS PUTERA</t>
        </is>
      </c>
      <c r="E19" s="9" t="n">
        <v>0</v>
      </c>
      <c r="F19" s="9" t="n">
        <v>0</v>
      </c>
      <c r="G19" s="9" t="n">
        <v>47310000</v>
      </c>
      <c r="H19" s="9" t="n">
        <v>0</v>
      </c>
      <c r="I19" s="9" t="n">
        <v>43960000</v>
      </c>
      <c r="J19" s="9">
        <f>E19+G19-I19</f>
        <v/>
      </c>
      <c r="K19" s="9">
        <f>IF(J19&gt;0,"OPEN","CLEAR")</f>
        <v/>
      </c>
      <c r="L19" s="8" t="n"/>
      <c r="M19" s="8" t="n"/>
      <c r="N19" s="8" t="n"/>
      <c r="O19" s="8" t="n"/>
    </row>
    <row r="20">
      <c r="A20" s="8" t="inlineStr">
        <is>
          <t>2026-10-23</t>
        </is>
      </c>
      <c r="B20" s="8" t="inlineStr">
        <is>
          <t>SBY</t>
        </is>
      </c>
      <c r="C20" s="8" t="n">
        <v>15</v>
      </c>
      <c r="D20" s="8" t="inlineStr">
        <is>
          <t>CV. KARTIKA SEMESTA LOGISTIK</t>
        </is>
      </c>
      <c r="E20" s="9" t="n">
        <v>0</v>
      </c>
      <c r="F20" s="9" t="n">
        <v>0</v>
      </c>
      <c r="G20" s="9" t="n">
        <v>76600000</v>
      </c>
      <c r="H20" s="9" t="n">
        <v>0</v>
      </c>
      <c r="I20" s="9" t="n">
        <v>76600000</v>
      </c>
      <c r="J20" s="9">
        <f>E20+G20-I20</f>
        <v/>
      </c>
      <c r="K20" s="9">
        <f>IF(J20&gt;0,"OPEN","CLEAR")</f>
        <v/>
      </c>
      <c r="L20" s="8" t="n"/>
      <c r="M20" s="8" t="n"/>
      <c r="N20" s="8" t="n"/>
      <c r="O20" s="8" t="n"/>
    </row>
    <row r="21">
      <c r="A21" s="8" t="inlineStr">
        <is>
          <t>2026-10-23</t>
        </is>
      </c>
      <c r="B21" s="8" t="inlineStr">
        <is>
          <t>SBY</t>
        </is>
      </c>
      <c r="C21" s="8" t="n">
        <v>16</v>
      </c>
      <c r="D21" s="8" t="inlineStr">
        <is>
          <t>PT. MAHAKARYA BERKAT PUTRA MANDIRI</t>
        </is>
      </c>
      <c r="E21" s="9" t="n">
        <v>0</v>
      </c>
      <c r="F21" s="9" t="n">
        <v>17000000</v>
      </c>
      <c r="G21" s="9" t="n">
        <v>161800000</v>
      </c>
      <c r="H21" s="9" t="n">
        <v>32000000</v>
      </c>
      <c r="I21" s="9" t="n">
        <v>99000000</v>
      </c>
      <c r="J21" s="9">
        <f>E21+G21-I21</f>
        <v/>
      </c>
      <c r="K21" s="9">
        <f>IF(J21&gt;0,"OPEN","CLEAR")</f>
        <v/>
      </c>
      <c r="L21" s="8" t="n"/>
      <c r="M21" s="8" t="n"/>
      <c r="N21" s="8" t="n"/>
      <c r="O21" s="8" t="n"/>
    </row>
    <row r="22">
      <c r="A22" s="8" t="inlineStr">
        <is>
          <t>2026-10-23</t>
        </is>
      </c>
      <c r="B22" s="8" t="inlineStr">
        <is>
          <t>SBY</t>
        </is>
      </c>
      <c r="C22" s="8" t="n">
        <v>17</v>
      </c>
      <c r="D22" s="8" t="inlineStr">
        <is>
          <t>PT. TRIDOMINITAMA</t>
        </is>
      </c>
      <c r="E22" s="9" t="n">
        <v>0</v>
      </c>
      <c r="F22" s="9" t="n">
        <v>8125000</v>
      </c>
      <c r="G22" s="9" t="n">
        <v>20605000</v>
      </c>
      <c r="H22" s="9" t="n">
        <v>12480000</v>
      </c>
      <c r="I22" s="9" t="n">
        <v>20605000</v>
      </c>
      <c r="J22" s="9">
        <f>E22+G22-I22</f>
        <v/>
      </c>
      <c r="K22" s="9">
        <f>IF(J22&gt;0,"OPEN","CLEAR")</f>
        <v/>
      </c>
      <c r="L22" s="8" t="n"/>
      <c r="M22" s="8" t="n"/>
      <c r="N22" s="8" t="n"/>
      <c r="O22" s="8" t="n"/>
    </row>
    <row r="23">
      <c r="A23" s="8" t="inlineStr">
        <is>
          <t>2026-10-23</t>
        </is>
      </c>
      <c r="B23" s="8" t="inlineStr">
        <is>
          <t>SBY</t>
        </is>
      </c>
      <c r="C23" s="8" t="n">
        <v>18</v>
      </c>
      <c r="D23" s="8" t="inlineStr">
        <is>
          <t>PT. TRI DOMINIC</t>
        </is>
      </c>
      <c r="E23" s="9" t="n">
        <v>0</v>
      </c>
      <c r="F23" s="9" t="n">
        <v>0</v>
      </c>
      <c r="G23" s="9" t="n">
        <v>11375000</v>
      </c>
      <c r="H23" s="9" t="n">
        <v>0</v>
      </c>
      <c r="I23" s="9" t="n">
        <v>11375000</v>
      </c>
      <c r="J23" s="9">
        <f>E23+G23-I23</f>
        <v/>
      </c>
      <c r="K23" s="9">
        <f>IF(J23&gt;0,"OPEN","CLEAR")</f>
        <v/>
      </c>
      <c r="L23" s="8" t="n"/>
      <c r="M23" s="8" t="n"/>
      <c r="N23" s="8" t="n"/>
      <c r="O23" s="8" t="n"/>
    </row>
    <row r="24">
      <c r="A24" s="10" t="inlineStr">
        <is>
          <t>TOTAL</t>
        </is>
      </c>
      <c r="B24" s="10" t="inlineStr"/>
      <c r="C24" s="10" t="inlineStr"/>
      <c r="D24" s="10" t="inlineStr"/>
      <c r="E24" s="11">
        <f>SUM(E6:E23)</f>
        <v/>
      </c>
      <c r="F24" s="11">
        <f>SUM(F6:F23)</f>
        <v/>
      </c>
      <c r="G24" s="11">
        <f>SUM(G6:G23)</f>
        <v/>
      </c>
      <c r="H24" s="11">
        <f>SUM(H6:H23)</f>
        <v/>
      </c>
      <c r="I24" s="11">
        <f>SUM(I6:I23)</f>
        <v/>
      </c>
      <c r="J24" s="11">
        <f>SUM(J6:J23)</f>
        <v/>
      </c>
      <c r="K24" s="11" t="inlineStr"/>
      <c r="L24" s="11" t="inlineStr"/>
      <c r="M24" s="11" t="inlineStr"/>
      <c r="N24" s="11" t="inlineStr"/>
      <c r="O24" s="11" t="inlineStr"/>
    </row>
    <row r="26">
      <c r="A26" s="12" t="inlineStr">
        <is>
          <t>NOTE</t>
        </is>
      </c>
    </row>
    <row r="27">
      <c r="A27" s="13" t="inlineStr">
        <is>
          <t>1. Ending AR = Beginning + Sales Acc − Income Acc (수식)</t>
        </is>
      </c>
    </row>
    <row r="28">
      <c r="A28" s="13" t="inlineStr">
        <is>
          <t>2. Invoice·입금 데이터는 ASM 미보유 → SAP 연동(CSR 64) 또는 회계 업로드</t>
        </is>
      </c>
    </row>
  </sheetData>
  <autoFilter ref="A5:O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4" t="inlineStr">
        <is>
          <t>PT ASCENDO INTERNASIONAL · INTERNAL MANAGEMENT REPORT (ASM ERP)</t>
        </is>
      </c>
    </row>
    <row r="2">
      <c r="A2" s="5" t="inlineStr">
        <is>
          <t>SAL-05 Monthly Sales Summary — SBY · Jan~Oct 2026</t>
        </is>
      </c>
    </row>
    <row r="3">
      <c r="A3" s="6" t="inlineStr">
        <is>
          <t>요청자: Sulastri (Surabaya Branch) · RR-20261027-004  ·  ASM Menu: Reports › SALES › Monthly Sales Summary › Branch = SBY  ·  Internal use only (필수문서 5종 아님)</t>
        </is>
      </c>
    </row>
    <row r="5" ht="30" customHeight="1">
      <c r="A5" s="7" t="inlineStr">
        <is>
          <t>Section</t>
        </is>
      </c>
      <c r="B5" s="7" t="inlineStr">
        <is>
          <t>Category / Person / Item</t>
        </is>
      </c>
      <c r="C5" s="7" t="inlineStr">
        <is>
          <t>Jan</t>
        </is>
      </c>
      <c r="D5" s="7" t="inlineStr">
        <is>
          <t>Feb</t>
        </is>
      </c>
      <c r="E5" s="7" t="inlineStr">
        <is>
          <t>Mar</t>
        </is>
      </c>
      <c r="F5" s="7" t="inlineStr">
        <is>
          <t>Apr</t>
        </is>
      </c>
      <c r="G5" s="7" t="inlineStr">
        <is>
          <t>May</t>
        </is>
      </c>
      <c r="H5" s="7" t="inlineStr">
        <is>
          <t>Jun</t>
        </is>
      </c>
      <c r="I5" s="7" t="inlineStr">
        <is>
          <t>Jul</t>
        </is>
      </c>
      <c r="J5" s="7" t="inlineStr">
        <is>
          <t>Aug</t>
        </is>
      </c>
      <c r="K5" s="7" t="inlineStr">
        <is>
          <t>Sep</t>
        </is>
      </c>
      <c r="L5" s="7" t="inlineStr">
        <is>
          <t>Oct</t>
        </is>
      </c>
      <c r="M5" s="7" t="inlineStr">
        <is>
          <t>Ave</t>
        </is>
      </c>
    </row>
    <row r="6">
      <c r="A6" s="8" t="inlineStr">
        <is>
          <t>I. All</t>
        </is>
      </c>
      <c r="B6" s="8" t="inlineStr">
        <is>
          <t>RADIAL</t>
        </is>
      </c>
      <c r="C6" s="9" t="n">
        <v>455</v>
      </c>
      <c r="D6" s="9" t="n">
        <v>139</v>
      </c>
      <c r="E6" s="9" t="n">
        <v>148</v>
      </c>
      <c r="F6" s="9" t="n">
        <v>324</v>
      </c>
      <c r="G6" s="9" t="n">
        <v>50</v>
      </c>
      <c r="H6" s="9" t="n">
        <v>696</v>
      </c>
      <c r="I6" s="9" t="n">
        <v>1371</v>
      </c>
      <c r="J6" s="9" t="n">
        <v>251</v>
      </c>
      <c r="K6" s="9" t="n">
        <v>265</v>
      </c>
      <c r="L6" s="9" t="n">
        <v>102</v>
      </c>
      <c r="M6" s="9" t="n">
        <v>380</v>
      </c>
    </row>
    <row r="7">
      <c r="A7" s="8" t="inlineStr">
        <is>
          <t>I. All</t>
        </is>
      </c>
      <c r="B7" s="8" t="inlineStr">
        <is>
          <t>AGR</t>
        </is>
      </c>
      <c r="C7" s="9" t="n">
        <v>0</v>
      </c>
      <c r="D7" s="9" t="n">
        <v>3</v>
      </c>
      <c r="E7" s="9" t="n">
        <v>2</v>
      </c>
      <c r="F7" s="9" t="n">
        <v>4</v>
      </c>
      <c r="G7" s="9" t="n">
        <v>5</v>
      </c>
      <c r="H7" s="9" t="n">
        <v>52</v>
      </c>
      <c r="I7" s="9" t="n">
        <v>19</v>
      </c>
      <c r="J7" s="9" t="n">
        <v>10</v>
      </c>
      <c r="K7" s="9" t="n">
        <v>19</v>
      </c>
      <c r="L7" s="9" t="n">
        <v>12</v>
      </c>
      <c r="M7" s="9" t="n">
        <v>13</v>
      </c>
    </row>
    <row r="8">
      <c r="A8" s="8" t="inlineStr">
        <is>
          <t>I. All</t>
        </is>
      </c>
      <c r="B8" s="8" t="inlineStr">
        <is>
          <t>OTR</t>
        </is>
      </c>
      <c r="C8" s="9" t="n">
        <v>12</v>
      </c>
      <c r="D8" s="9" t="n">
        <v>4</v>
      </c>
      <c r="E8" s="9" t="n">
        <v>5</v>
      </c>
      <c r="F8" s="9" t="n">
        <v>17</v>
      </c>
      <c r="G8" s="9" t="n">
        <v>3</v>
      </c>
      <c r="H8" s="9" t="n">
        <v>21</v>
      </c>
      <c r="I8" s="9" t="n">
        <v>4</v>
      </c>
      <c r="J8" s="9" t="n">
        <v>12</v>
      </c>
      <c r="K8" s="9" t="n">
        <v>8</v>
      </c>
      <c r="L8" s="9" t="n">
        <v>1</v>
      </c>
      <c r="M8" s="9" t="n">
        <v>9</v>
      </c>
    </row>
    <row r="9">
      <c r="A9" s="8" t="inlineStr">
        <is>
          <t>I. All</t>
        </is>
      </c>
      <c r="B9" s="8" t="inlineStr">
        <is>
          <t>BIAS</t>
        </is>
      </c>
      <c r="C9" s="9" t="n">
        <v>383</v>
      </c>
      <c r="D9" s="9" t="n">
        <v>170</v>
      </c>
      <c r="E9" s="9" t="n">
        <v>115</v>
      </c>
      <c r="F9" s="9" t="n">
        <v>217</v>
      </c>
      <c r="G9" s="9" t="n">
        <v>79</v>
      </c>
      <c r="H9" s="9" t="n">
        <v>106</v>
      </c>
      <c r="I9" s="9" t="n">
        <v>134</v>
      </c>
      <c r="J9" s="9" t="n">
        <v>171</v>
      </c>
      <c r="K9" s="9" t="n">
        <v>157</v>
      </c>
      <c r="L9" s="9" t="n">
        <v>148</v>
      </c>
      <c r="M9" s="9" t="n">
        <v>168</v>
      </c>
    </row>
    <row r="10">
      <c r="A10" s="8" t="inlineStr">
        <is>
          <t>I. All</t>
        </is>
      </c>
      <c r="B10" s="8" t="inlineStr">
        <is>
          <t>SOLID</t>
        </is>
      </c>
      <c r="C10" s="9" t="n">
        <v>2</v>
      </c>
      <c r="D10" s="9" t="n">
        <v>42</v>
      </c>
      <c r="E10" s="9" t="n">
        <v>16</v>
      </c>
      <c r="F10" s="9" t="n">
        <v>18</v>
      </c>
      <c r="G10" s="9" t="n">
        <v>8</v>
      </c>
      <c r="H10" s="9" t="n">
        <v>10</v>
      </c>
      <c r="I10" s="9" t="n">
        <v>4</v>
      </c>
      <c r="J10" s="9" t="n">
        <v>11</v>
      </c>
      <c r="K10" s="9" t="n">
        <v>0</v>
      </c>
      <c r="L10" s="9" t="n">
        <v>2</v>
      </c>
      <c r="M10" s="9" t="n">
        <v>11</v>
      </c>
    </row>
    <row r="11">
      <c r="A11" s="8" t="inlineStr">
        <is>
          <t>I. All</t>
        </is>
      </c>
      <c r="B11" s="8" t="inlineStr">
        <is>
          <t>PNEUMATIC</t>
        </is>
      </c>
      <c r="C11" s="9" t="n">
        <v>10</v>
      </c>
      <c r="D11" s="9" t="n">
        <v>4</v>
      </c>
      <c r="E11" s="9" t="n">
        <v>2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4</v>
      </c>
      <c r="L11" s="9" t="n">
        <v>0</v>
      </c>
      <c r="M11" s="9" t="n">
        <v>2</v>
      </c>
    </row>
    <row r="12">
      <c r="A12" s="8" t="inlineStr">
        <is>
          <t>I. All</t>
        </is>
      </c>
      <c r="B12" s="8" t="inlineStr">
        <is>
          <t>TUBE</t>
        </is>
      </c>
      <c r="C12" s="9" t="n">
        <v>1363</v>
      </c>
      <c r="D12" s="9" t="n">
        <v>2592</v>
      </c>
      <c r="E12" s="9" t="n">
        <v>481</v>
      </c>
      <c r="F12" s="9" t="n">
        <v>1195</v>
      </c>
      <c r="G12" s="9" t="n">
        <v>285</v>
      </c>
      <c r="H12" s="9" t="n">
        <v>1509</v>
      </c>
      <c r="I12" s="9" t="n">
        <v>2528</v>
      </c>
      <c r="J12" s="9" t="n">
        <v>749</v>
      </c>
      <c r="K12" s="9" t="n">
        <v>670</v>
      </c>
      <c r="L12" s="9" t="n">
        <v>574</v>
      </c>
      <c r="M12" s="9" t="n">
        <v>1195</v>
      </c>
    </row>
    <row r="13">
      <c r="A13" s="8" t="inlineStr">
        <is>
          <t>I. All</t>
        </is>
      </c>
      <c r="B13" s="8" t="inlineStr">
        <is>
          <t>FLAP</t>
        </is>
      </c>
      <c r="C13" s="9" t="n">
        <v>1183</v>
      </c>
      <c r="D13" s="9" t="n">
        <v>500</v>
      </c>
      <c r="E13" s="9" t="n">
        <v>277</v>
      </c>
      <c r="F13" s="9" t="n">
        <v>680</v>
      </c>
      <c r="G13" s="9" t="n">
        <v>198</v>
      </c>
      <c r="H13" s="9" t="n">
        <v>850</v>
      </c>
      <c r="I13" s="9" t="n">
        <v>2362</v>
      </c>
      <c r="J13" s="9" t="n">
        <v>833</v>
      </c>
      <c r="K13" s="9" t="n">
        <v>514</v>
      </c>
      <c r="L13" s="9" t="n">
        <v>369</v>
      </c>
      <c r="M13" s="9" t="n">
        <v>777</v>
      </c>
    </row>
    <row r="14">
      <c r="A14" s="8" t="inlineStr">
        <is>
          <t>I. All</t>
        </is>
      </c>
      <c r="B14" s="8" t="inlineStr">
        <is>
          <t>Grand Total Qty</t>
        </is>
      </c>
      <c r="C14" s="9" t="n">
        <v>3408</v>
      </c>
      <c r="D14" s="9" t="n">
        <v>3454</v>
      </c>
      <c r="E14" s="9" t="n">
        <v>1046</v>
      </c>
      <c r="F14" s="9" t="n">
        <v>2455</v>
      </c>
      <c r="G14" s="9" t="n">
        <v>628</v>
      </c>
      <c r="H14" s="9" t="n">
        <v>3244</v>
      </c>
      <c r="I14" s="9" t="n">
        <v>6422</v>
      </c>
      <c r="J14" s="9" t="n">
        <v>2037</v>
      </c>
      <c r="K14" s="9" t="n">
        <v>1637</v>
      </c>
      <c r="L14" s="9" t="n">
        <v>1208</v>
      </c>
      <c r="M14" s="9" t="n">
        <v>2554</v>
      </c>
    </row>
    <row r="15">
      <c r="A15" s="8" t="inlineStr">
        <is>
          <t>I. All</t>
        </is>
      </c>
      <c r="B15" s="8" t="inlineStr">
        <is>
          <t>Amount (M.IDR)</t>
        </is>
      </c>
      <c r="C15" s="9" t="n">
        <v>2059</v>
      </c>
      <c r="D15" s="9" t="n">
        <v>1233</v>
      </c>
      <c r="E15" s="9" t="n">
        <v>695</v>
      </c>
      <c r="F15" s="9" t="n">
        <v>1413</v>
      </c>
      <c r="G15" s="9" t="n">
        <v>371</v>
      </c>
      <c r="H15" s="9" t="n">
        <v>3005</v>
      </c>
      <c r="I15" s="9" t="n">
        <v>5925</v>
      </c>
      <c r="J15" s="9" t="n">
        <v>1702</v>
      </c>
      <c r="K15" s="9" t="n">
        <v>1489</v>
      </c>
      <c r="L15" s="9" t="n">
        <v>755</v>
      </c>
      <c r="M15" s="9" t="n">
        <v>1865</v>
      </c>
    </row>
    <row r="16">
      <c r="A16" s="8" t="inlineStr">
        <is>
          <t>II. Net</t>
        </is>
      </c>
      <c r="B16" s="8" t="inlineStr">
        <is>
          <t>RADIAL</t>
        </is>
      </c>
      <c r="C16" s="9" t="n">
        <v>256</v>
      </c>
      <c r="D16" s="9" t="n">
        <v>139</v>
      </c>
      <c r="E16" s="9" t="n">
        <v>148</v>
      </c>
      <c r="F16" s="9" t="n">
        <v>324</v>
      </c>
      <c r="G16" s="9" t="n">
        <v>50</v>
      </c>
      <c r="H16" s="9" t="n">
        <v>154</v>
      </c>
      <c r="I16" s="9" t="n">
        <v>104</v>
      </c>
      <c r="J16" s="9" t="n">
        <v>43</v>
      </c>
      <c r="K16" s="9" t="n">
        <v>110</v>
      </c>
      <c r="L16" s="9" t="n">
        <v>102</v>
      </c>
      <c r="M16" s="9" t="n">
        <v>143</v>
      </c>
    </row>
    <row r="17">
      <c r="A17" s="8" t="inlineStr">
        <is>
          <t>II. Net</t>
        </is>
      </c>
      <c r="B17" s="8" t="inlineStr">
        <is>
          <t>AGR</t>
        </is>
      </c>
      <c r="C17" s="9" t="n">
        <v>0</v>
      </c>
      <c r="D17" s="9" t="n">
        <v>3</v>
      </c>
      <c r="E17" s="9" t="n">
        <v>2</v>
      </c>
      <c r="F17" s="9" t="n">
        <v>4</v>
      </c>
      <c r="G17" s="9" t="n">
        <v>5</v>
      </c>
      <c r="H17" s="9" t="n">
        <v>32</v>
      </c>
      <c r="I17" s="9" t="n">
        <v>3</v>
      </c>
      <c r="J17" s="9" t="n">
        <v>10</v>
      </c>
      <c r="K17" s="9" t="n">
        <v>19</v>
      </c>
      <c r="L17" s="9" t="n">
        <v>12</v>
      </c>
      <c r="M17" s="9" t="n">
        <v>9</v>
      </c>
    </row>
    <row r="18">
      <c r="A18" s="8" t="inlineStr">
        <is>
          <t>II. Net</t>
        </is>
      </c>
      <c r="B18" s="8" t="inlineStr">
        <is>
          <t>OTR</t>
        </is>
      </c>
      <c r="C18" s="9" t="n">
        <v>12</v>
      </c>
      <c r="D18" s="9" t="n">
        <v>4</v>
      </c>
      <c r="E18" s="9" t="n">
        <v>5</v>
      </c>
      <c r="F18" s="9" t="n">
        <v>17</v>
      </c>
      <c r="G18" s="9" t="n">
        <v>3</v>
      </c>
      <c r="H18" s="9" t="n">
        <v>21</v>
      </c>
      <c r="I18" s="9" t="n">
        <v>4</v>
      </c>
      <c r="J18" s="9" t="n">
        <v>12</v>
      </c>
      <c r="K18" s="9" t="n">
        <v>8</v>
      </c>
      <c r="L18" s="9" t="n">
        <v>1</v>
      </c>
      <c r="M18" s="9" t="n">
        <v>9</v>
      </c>
    </row>
    <row r="19">
      <c r="A19" s="8" t="inlineStr">
        <is>
          <t>II. Net</t>
        </is>
      </c>
      <c r="B19" s="8" t="inlineStr">
        <is>
          <t>BIAS</t>
        </is>
      </c>
      <c r="C19" s="9" t="n">
        <v>373</v>
      </c>
      <c r="D19" s="9" t="n">
        <v>170</v>
      </c>
      <c r="E19" s="9" t="n">
        <v>115</v>
      </c>
      <c r="F19" s="9" t="n">
        <v>217</v>
      </c>
      <c r="G19" s="9" t="n">
        <v>79</v>
      </c>
      <c r="H19" s="9" t="n">
        <v>106</v>
      </c>
      <c r="I19" s="9" t="n">
        <v>134</v>
      </c>
      <c r="J19" s="9" t="n">
        <v>171</v>
      </c>
      <c r="K19" s="9" t="n">
        <v>157</v>
      </c>
      <c r="L19" s="9" t="n">
        <v>148</v>
      </c>
      <c r="M19" s="9" t="n">
        <v>167</v>
      </c>
    </row>
    <row r="20">
      <c r="A20" s="8" t="inlineStr">
        <is>
          <t>II. Net</t>
        </is>
      </c>
      <c r="B20" s="8" t="inlineStr">
        <is>
          <t>SOLID</t>
        </is>
      </c>
      <c r="C20" s="9" t="n">
        <v>2</v>
      </c>
      <c r="D20" s="9" t="n">
        <v>42</v>
      </c>
      <c r="E20" s="9" t="n">
        <v>16</v>
      </c>
      <c r="F20" s="9" t="n">
        <v>18</v>
      </c>
      <c r="G20" s="9" t="n">
        <v>8</v>
      </c>
      <c r="H20" s="9" t="n">
        <v>10</v>
      </c>
      <c r="I20" s="9" t="n">
        <v>4</v>
      </c>
      <c r="J20" s="9" t="n">
        <v>11</v>
      </c>
      <c r="K20" s="9" t="n">
        <v>0</v>
      </c>
      <c r="L20" s="9" t="n">
        <v>2</v>
      </c>
      <c r="M20" s="9" t="n">
        <v>11</v>
      </c>
    </row>
    <row r="21">
      <c r="A21" s="8" t="inlineStr">
        <is>
          <t>II. Net</t>
        </is>
      </c>
      <c r="B21" s="8" t="inlineStr">
        <is>
          <t>PNEUMATIC</t>
        </is>
      </c>
      <c r="C21" s="9" t="n">
        <v>10</v>
      </c>
      <c r="D21" s="9" t="n">
        <v>4</v>
      </c>
      <c r="E21" s="9" t="n">
        <v>2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4</v>
      </c>
      <c r="L21" s="9" t="n">
        <v>0</v>
      </c>
      <c r="M21" s="9" t="n">
        <v>2</v>
      </c>
    </row>
    <row r="22">
      <c r="A22" s="8" t="inlineStr">
        <is>
          <t>II. Net</t>
        </is>
      </c>
      <c r="B22" s="8" t="inlineStr">
        <is>
          <t>TUBE</t>
        </is>
      </c>
      <c r="C22" s="9" t="n">
        <v>1154</v>
      </c>
      <c r="D22" s="9" t="n">
        <v>2132</v>
      </c>
      <c r="E22" s="9" t="n">
        <v>441</v>
      </c>
      <c r="F22" s="9" t="n">
        <v>1065</v>
      </c>
      <c r="G22" s="9" t="n">
        <v>271</v>
      </c>
      <c r="H22" s="9" t="n">
        <v>687</v>
      </c>
      <c r="I22" s="9" t="n">
        <v>263</v>
      </c>
      <c r="J22" s="9" t="n">
        <v>491</v>
      </c>
      <c r="K22" s="9" t="n">
        <v>515</v>
      </c>
      <c r="L22" s="9" t="n">
        <v>424</v>
      </c>
      <c r="M22" s="9" t="n">
        <v>744</v>
      </c>
    </row>
    <row r="23">
      <c r="A23" s="8" t="inlineStr">
        <is>
          <t>II. Net</t>
        </is>
      </c>
      <c r="B23" s="8" t="inlineStr">
        <is>
          <t>FLAP</t>
        </is>
      </c>
      <c r="C23" s="9" t="n">
        <v>974</v>
      </c>
      <c r="D23" s="9" t="n">
        <v>350</v>
      </c>
      <c r="E23" s="9" t="n">
        <v>217</v>
      </c>
      <c r="F23" s="9" t="n">
        <v>680</v>
      </c>
      <c r="G23" s="9" t="n">
        <v>198</v>
      </c>
      <c r="H23" s="9" t="n">
        <v>266</v>
      </c>
      <c r="I23" s="9" t="n">
        <v>255</v>
      </c>
      <c r="J23" s="9" t="n">
        <v>440</v>
      </c>
      <c r="K23" s="9" t="n">
        <v>359</v>
      </c>
      <c r="L23" s="9" t="n">
        <v>269</v>
      </c>
      <c r="M23" s="9" t="n">
        <v>401</v>
      </c>
    </row>
    <row r="24">
      <c r="A24" s="8" t="inlineStr">
        <is>
          <t>II. Net</t>
        </is>
      </c>
      <c r="B24" s="8" t="inlineStr">
        <is>
          <t>Grand Total Qty</t>
        </is>
      </c>
      <c r="C24" s="9" t="n">
        <v>2781</v>
      </c>
      <c r="D24" s="9" t="n">
        <v>2844</v>
      </c>
      <c r="E24" s="9" t="n">
        <v>946</v>
      </c>
      <c r="F24" s="9" t="n">
        <v>2325</v>
      </c>
      <c r="G24" s="9" t="n">
        <v>614</v>
      </c>
      <c r="H24" s="9" t="n">
        <v>1276</v>
      </c>
      <c r="I24" s="9" t="n">
        <v>767</v>
      </c>
      <c r="J24" s="9" t="n">
        <v>1178</v>
      </c>
      <c r="K24" s="9" t="n">
        <v>1172</v>
      </c>
      <c r="L24" s="9" t="n">
        <v>958</v>
      </c>
      <c r="M24" s="9" t="n">
        <v>1486</v>
      </c>
    </row>
    <row r="25">
      <c r="A25" s="8" t="inlineStr">
        <is>
          <t>II. Net</t>
        </is>
      </c>
      <c r="B25" s="8" t="inlineStr">
        <is>
          <t>Amount (M.IDR)</t>
        </is>
      </c>
      <c r="C25" s="9" t="n">
        <v>1444</v>
      </c>
      <c r="D25" s="9" t="n">
        <v>1046</v>
      </c>
      <c r="E25" s="9" t="n">
        <v>674</v>
      </c>
      <c r="F25" s="9" t="n">
        <v>1362</v>
      </c>
      <c r="G25" s="9" t="n">
        <v>368</v>
      </c>
      <c r="H25" s="9" t="n">
        <v>864</v>
      </c>
      <c r="I25" s="9" t="n">
        <v>493</v>
      </c>
      <c r="J25" s="9" t="n">
        <v>800</v>
      </c>
      <c r="K25" s="9" t="n">
        <v>856</v>
      </c>
      <c r="L25" s="9" t="n">
        <v>659</v>
      </c>
      <c r="M25" s="9" t="n">
        <v>857</v>
      </c>
    </row>
    <row r="26">
      <c r="A26" s="8" t="inlineStr">
        <is>
          <t>III. by Person (M.IDR)</t>
        </is>
      </c>
      <c r="B26" s="8" t="inlineStr">
        <is>
          <t>YONO</t>
        </is>
      </c>
      <c r="C26" s="9" t="n">
        <v>628</v>
      </c>
      <c r="D26" s="9" t="n">
        <v>353</v>
      </c>
      <c r="E26" s="9" t="n">
        <v>287</v>
      </c>
      <c r="F26" s="9" t="n">
        <v>765</v>
      </c>
      <c r="G26" s="9" t="n">
        <v>279</v>
      </c>
      <c r="H26" s="9" t="n">
        <v>675</v>
      </c>
      <c r="I26" s="9" t="n">
        <v>394</v>
      </c>
      <c r="J26" s="9" t="n">
        <v>475</v>
      </c>
      <c r="K26" s="9" t="n">
        <v>666</v>
      </c>
      <c r="L26" s="9" t="n">
        <v>535</v>
      </c>
      <c r="M26" s="9" t="n">
        <v>506</v>
      </c>
    </row>
    <row r="27">
      <c r="A27" s="8" t="inlineStr">
        <is>
          <t>III. by Person (M.IDR)</t>
        </is>
      </c>
      <c r="B27" s="8" t="inlineStr">
        <is>
          <t>HARI</t>
        </is>
      </c>
      <c r="C27" s="9" t="n">
        <v>325</v>
      </c>
      <c r="D27" s="9" t="n">
        <v>437</v>
      </c>
      <c r="E27" s="9" t="n">
        <v>230</v>
      </c>
      <c r="F27" s="9" t="n">
        <v>431</v>
      </c>
      <c r="G27" s="9" t="n">
        <v>82</v>
      </c>
      <c r="H27" s="9" t="n">
        <v>93</v>
      </c>
      <c r="I27" s="9" t="n">
        <v>92</v>
      </c>
      <c r="J27" s="9" t="n">
        <v>295</v>
      </c>
      <c r="K27" s="9" t="n">
        <v>166</v>
      </c>
      <c r="L27" s="9" t="n">
        <v>123</v>
      </c>
      <c r="M27" s="9" t="n">
        <v>227</v>
      </c>
    </row>
    <row r="28">
      <c r="A28" s="8" t="inlineStr">
        <is>
          <t>III. by Person (M.IDR)</t>
        </is>
      </c>
      <c r="B28" s="8" t="inlineStr">
        <is>
          <t>RIZKI</t>
        </is>
      </c>
      <c r="C28" s="9" t="n">
        <v>260</v>
      </c>
      <c r="D28" s="9" t="n">
        <v>154</v>
      </c>
      <c r="E28" s="9" t="n">
        <v>104</v>
      </c>
      <c r="F28" s="9" t="n">
        <v>117</v>
      </c>
      <c r="G28" s="9" t="n">
        <v>7</v>
      </c>
      <c r="H28" s="9" t="n">
        <v>71</v>
      </c>
      <c r="I28" s="9" t="n">
        <v>6</v>
      </c>
      <c r="J28" s="9" t="n">
        <v>30</v>
      </c>
      <c r="K28" s="9" t="n">
        <v>24</v>
      </c>
      <c r="L28" s="9" t="n">
        <v>1</v>
      </c>
      <c r="M28" s="9" t="n">
        <v>77</v>
      </c>
    </row>
    <row r="29">
      <c r="A29" s="8" t="inlineStr">
        <is>
          <t>III. by Person (M.IDR)</t>
        </is>
      </c>
      <c r="B29" s="8" t="inlineStr">
        <is>
          <t>ARIF</t>
        </is>
      </c>
      <c r="C29" s="9" t="n">
        <v>208</v>
      </c>
      <c r="D29" s="9" t="n">
        <v>6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21</v>
      </c>
    </row>
    <row r="30">
      <c r="A30" s="8" t="inlineStr">
        <is>
          <t>III. by Person (M.IDR)</t>
        </is>
      </c>
      <c r="B30" s="8" t="inlineStr">
        <is>
          <t>HANIF</t>
        </is>
      </c>
      <c r="C30" s="9" t="n">
        <v>0</v>
      </c>
      <c r="D30" s="9" t="n">
        <v>88</v>
      </c>
      <c r="E30" s="9" t="n">
        <v>0</v>
      </c>
      <c r="F30" s="9" t="n">
        <v>0</v>
      </c>
      <c r="G30" s="9" t="n">
        <v>0</v>
      </c>
      <c r="H30" s="9" t="n">
        <v>25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11</v>
      </c>
    </row>
    <row r="31">
      <c r="A31" s="8" t="inlineStr">
        <is>
          <t>III. by Person (M.IDR)</t>
        </is>
      </c>
      <c r="B31" s="8" t="inlineStr">
        <is>
          <t>LUBIS</t>
        </is>
      </c>
      <c r="C31" s="9" t="n">
        <v>0</v>
      </c>
      <c r="D31" s="9" t="n">
        <v>0</v>
      </c>
      <c r="E31" s="9" t="n">
        <v>13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1</v>
      </c>
    </row>
    <row r="32">
      <c r="A32" s="8" t="inlineStr">
        <is>
          <t>III. by Person (M.IDR)</t>
        </is>
      </c>
      <c r="B32" s="8" t="inlineStr">
        <is>
          <t>RENDI</t>
        </is>
      </c>
      <c r="C32" s="9" t="n">
        <v>0</v>
      </c>
      <c r="D32" s="9" t="n">
        <v>0</v>
      </c>
      <c r="E32" s="9" t="n">
        <v>40</v>
      </c>
      <c r="F32" s="9" t="n">
        <v>49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9</v>
      </c>
    </row>
    <row r="33">
      <c r="A33" s="8" t="inlineStr">
        <is>
          <t>III. by Person (M.IDR)</t>
        </is>
      </c>
      <c r="B33" s="8" t="inlineStr">
        <is>
          <t>TRI</t>
        </is>
      </c>
      <c r="C33" s="9" t="n">
        <v>22</v>
      </c>
      <c r="D33" s="9" t="n">
        <v>8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3</v>
      </c>
    </row>
    <row r="34">
      <c r="A34" s="8" t="inlineStr">
        <is>
          <t>III. by Person (M.IDR)</t>
        </is>
      </c>
      <c r="B34" s="8" t="inlineStr">
        <is>
          <t>YUDHA</t>
        </is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</row>
    <row r="35">
      <c r="A35" s="8" t="inlineStr">
        <is>
          <t>III. by Person (M.IDR)</t>
        </is>
      </c>
      <c r="B35" s="8" t="inlineStr">
        <is>
          <t>Grand Total Amount (M.IDR)</t>
        </is>
      </c>
      <c r="C35" s="9" t="n">
        <v>1444</v>
      </c>
      <c r="D35" s="9" t="n">
        <v>1046</v>
      </c>
      <c r="E35" s="9" t="n">
        <v>674</v>
      </c>
      <c r="F35" s="9" t="n">
        <v>1362</v>
      </c>
      <c r="G35" s="9" t="n">
        <v>368</v>
      </c>
      <c r="H35" s="9" t="n">
        <v>864</v>
      </c>
      <c r="I35" s="9" t="n">
        <v>493</v>
      </c>
      <c r="J35" s="9" t="n">
        <v>800</v>
      </c>
      <c r="K35" s="9" t="n">
        <v>856</v>
      </c>
      <c r="L35" s="9" t="n">
        <v>659</v>
      </c>
      <c r="M35" s="9" t="n">
        <v>857</v>
      </c>
    </row>
    <row r="36">
      <c r="A36" s="8" t="inlineStr">
        <is>
          <t>IV. Employee &amp; Cost</t>
        </is>
      </c>
      <c r="B36" s="8" t="inlineStr">
        <is>
          <t>Sales</t>
        </is>
      </c>
      <c r="C36" s="9" t="n">
        <v>3</v>
      </c>
      <c r="D36" s="9" t="n">
        <v>4</v>
      </c>
      <c r="E36" s="9" t="n">
        <v>3</v>
      </c>
      <c r="F36" s="9" t="n">
        <v>3</v>
      </c>
      <c r="G36" s="9" t="n">
        <v>2</v>
      </c>
      <c r="H36" s="9" t="n">
        <v>2</v>
      </c>
      <c r="I36" s="9" t="n">
        <v>2</v>
      </c>
      <c r="J36" s="9" t="n">
        <v>2</v>
      </c>
      <c r="K36" s="9" t="n">
        <v>2</v>
      </c>
      <c r="L36" s="9" t="n">
        <v>2</v>
      </c>
      <c r="M36" s="9" t="n">
        <v>3</v>
      </c>
    </row>
    <row r="37">
      <c r="A37" s="8" t="inlineStr">
        <is>
          <t>IV. Employee &amp; Cost</t>
        </is>
      </c>
      <c r="B37" s="8" t="inlineStr">
        <is>
          <t>Admin</t>
        </is>
      </c>
      <c r="C37" s="9" t="n">
        <v>2</v>
      </c>
      <c r="D37" s="9" t="n">
        <v>2</v>
      </c>
      <c r="E37" s="9" t="n">
        <v>2</v>
      </c>
      <c r="F37" s="9" t="n">
        <v>2</v>
      </c>
      <c r="G37" s="9" t="n">
        <v>2</v>
      </c>
      <c r="H37" s="9" t="n">
        <v>2</v>
      </c>
      <c r="I37" s="9" t="n">
        <v>2</v>
      </c>
      <c r="J37" s="9" t="n">
        <v>2</v>
      </c>
      <c r="K37" s="9" t="n">
        <v>2</v>
      </c>
      <c r="L37" s="9" t="n">
        <v>2</v>
      </c>
      <c r="M37" s="9" t="n">
        <v>2</v>
      </c>
    </row>
    <row r="38">
      <c r="A38" s="8" t="inlineStr">
        <is>
          <t>IV. Employee &amp; Cost</t>
        </is>
      </c>
      <c r="B38" s="8" t="inlineStr">
        <is>
          <t>Delivery</t>
        </is>
      </c>
      <c r="C38" s="9" t="n">
        <v>2</v>
      </c>
      <c r="D38" s="9" t="n">
        <v>3</v>
      </c>
      <c r="E38" s="9" t="n">
        <v>3</v>
      </c>
      <c r="F38" s="9" t="n">
        <v>3</v>
      </c>
      <c r="G38" s="9" t="n">
        <v>4</v>
      </c>
      <c r="H38" s="9" t="n">
        <v>4</v>
      </c>
      <c r="I38" s="9" t="n">
        <v>4</v>
      </c>
      <c r="J38" s="9" t="n">
        <v>4</v>
      </c>
      <c r="K38" s="9" t="n">
        <v>3</v>
      </c>
      <c r="L38" s="9" t="n">
        <v>3</v>
      </c>
      <c r="M38" s="9" t="n">
        <v>3</v>
      </c>
    </row>
    <row r="39">
      <c r="A39" s="8" t="inlineStr">
        <is>
          <t>IV. Employee &amp; Cost</t>
        </is>
      </c>
      <c r="B39" s="8" t="inlineStr">
        <is>
          <t>Sub Total (person)</t>
        </is>
      </c>
      <c r="C39" s="9" t="n">
        <v>7</v>
      </c>
      <c r="D39" s="9" t="n">
        <v>9</v>
      </c>
      <c r="E39" s="9" t="n">
        <v>8</v>
      </c>
      <c r="F39" s="9" t="n">
        <v>8</v>
      </c>
      <c r="G39" s="9" t="n">
        <v>8</v>
      </c>
      <c r="H39" s="9" t="n">
        <v>8</v>
      </c>
      <c r="I39" s="9" t="n">
        <v>8</v>
      </c>
      <c r="J39" s="9" t="n">
        <v>8</v>
      </c>
      <c r="K39" s="9" t="n">
        <v>7</v>
      </c>
      <c r="L39" s="9" t="n">
        <v>7</v>
      </c>
      <c r="M39" s="9" t="n">
        <v>8</v>
      </c>
    </row>
    <row r="40">
      <c r="A40" s="8" t="inlineStr">
        <is>
          <t>IV. Employee &amp; Cost</t>
        </is>
      </c>
      <c r="B40" s="8" t="inlineStr">
        <is>
          <t>Petty (M.IDR)</t>
        </is>
      </c>
      <c r="C40" s="9" t="n">
        <v>15</v>
      </c>
      <c r="D40" s="9" t="n">
        <v>9</v>
      </c>
      <c r="E40" s="9" t="n">
        <v>15</v>
      </c>
      <c r="F40" s="9" t="n">
        <v>11</v>
      </c>
      <c r="G40" s="9" t="n">
        <v>8</v>
      </c>
      <c r="H40" s="9" t="n">
        <v>12</v>
      </c>
      <c r="I40" s="9" t="n">
        <v>18</v>
      </c>
      <c r="J40" s="9" t="n">
        <v>19</v>
      </c>
      <c r="K40" s="9" t="n">
        <v>9</v>
      </c>
      <c r="L40" s="9" t="n">
        <v>6</v>
      </c>
      <c r="M40" s="9" t="n">
        <v>12</v>
      </c>
    </row>
    <row r="43">
      <c r="A43" s="12" t="inlineStr">
        <is>
          <t>NOTE</t>
        </is>
      </c>
    </row>
    <row r="44">
      <c r="A44" s="13" t="inlineStr">
        <is>
          <t>1. Qty = pcs · Amount = M.IDR · Net = Excluded Distributor 제외 (CV. Arena Ban Indonesia · CV. Sumber Sakti · PT. Grand Prix Indoagung · PT. Jangkar Emas Teguh · PT. Sumber Sakti Prima Mandiri · CV. Aneka Roda Kencana)</t>
        </is>
      </c>
    </row>
    <row r="45">
      <c r="A45" s="13" t="inlineStr">
        <is>
          <t>2. IV 인원·Petty는 수기 입력 (지점장 권한)</t>
        </is>
      </c>
    </row>
  </sheetData>
  <autoFilter ref="A5:M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2026-10-28T03:34:20Z</dcterms:created>
  <dcterms:modified xmlns:dcterms="http://purl.org/dc/terms/" xmlns:xsi="http://www.w3.org/2001/XMLSchema-instance" xsi:type="dcterms:W3CDTF">2026-10-28T03:34:20Z</dcterms:modified>
</cp:coreProperties>
</file>