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-1 SAL01_Summary" sheetId="2" state="visible" r:id="rId2"/>
    <sheet xmlns:r="http://schemas.openxmlformats.org/officeDocument/2006/relationships" name="2-1 SAL02_Summary" sheetId="3" state="visible" r:id="rId3"/>
    <sheet xmlns:r="http://schemas.openxmlformats.org/officeDocument/2006/relationships" name="3-1 SAL03_Summary" sheetId="4" state="visible" r:id="rId4"/>
    <sheet xmlns:r="http://schemas.openxmlformats.org/officeDocument/2006/relationships" name="4 SAL_Data" sheetId="5" state="visible" r:id="rId5"/>
  </sheets>
  <definedNames>
    <definedName name="_xlnm._FilterDatabase" localSheetId="1" hidden="1">'1-1 SAL01_Summary'!$A$5:$M$28</definedName>
    <definedName name="_xlnm._FilterDatabase" localSheetId="2" hidden="1">'2-1 SAL02_Summary'!$A$5:$O$11</definedName>
    <definedName name="_xlnm._FilterDatabase" localSheetId="3" hidden="1">'3-1 SAL03_Summary'!$A$5:$M$8</definedName>
    <definedName name="_xlnm._FilterDatabase" localSheetId="4" hidden="1">'4 SAL_Data'!$A$5:$W$6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062C6"/>
      <sz val="12"/>
    </font>
    <font>
      <color rgb="00333333"/>
      <sz val="10"/>
    </font>
    <font>
      <b val="1"/>
      <color rgb="000062C6"/>
      <sz val="10"/>
    </font>
    <font>
      <b val="1"/>
      <color rgb="000062C6"/>
      <sz val="11"/>
    </font>
    <font>
      <b val="1"/>
      <color rgb="000062C6"/>
      <sz val="14"/>
    </font>
    <font>
      <color rgb="00666666"/>
      <sz val="9"/>
    </font>
    <font>
      <b val="1"/>
      <sz val="9"/>
    </font>
    <font>
      <sz val="9"/>
    </font>
    <font>
      <b val="1"/>
      <color rgb="000062C6"/>
    </font>
  </fonts>
  <fills count="5">
    <fill>
      <patternFill/>
    </fill>
    <fill>
      <patternFill patternType="gray125"/>
    </fill>
    <fill>
      <patternFill patternType="solid">
        <fgColor rgb="00FFF3E0"/>
      </patternFill>
    </fill>
    <fill>
      <patternFill patternType="solid">
        <fgColor rgb="00F0F6FC"/>
      </patternFill>
    </fill>
    <fill>
      <patternFill patternType="solid">
        <fgColor rgb="00E6EFF9"/>
      </patternFill>
    </fill>
  </fills>
  <borders count="4">
    <border>
      <left/>
      <right/>
      <top/>
      <bottom/>
      <diagonal/>
    </border>
    <border>
      <top style="thin">
        <color rgb="00D6D6D6"/>
      </top>
      <bottom style="medium">
        <color rgb="000062C6"/>
      </bottom>
    </border>
    <border>
      <bottom style="thin">
        <color rgb="00D6D6D6"/>
      </bottom>
    </border>
    <border>
      <top style="medium">
        <color rgb="000062C6"/>
      </top>
      <bottom style="medium">
        <color rgb="000062C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0" borderId="2" pivotButton="0" quotePrefix="0" xfId="0"/>
    <xf numFmtId="3" fontId="8" fillId="0" borderId="2" applyAlignment="1" pivotButton="0" quotePrefix="0" xfId="0">
      <alignment horizontal="right"/>
    </xf>
    <xf numFmtId="0" fontId="7" fillId="4" borderId="3" pivotButton="0" quotePrefix="0" xfId="0"/>
    <xf numFmtId="3" fontId="7" fillId="4" borderId="3" applyAlignment="1" pivotButton="0" quotePrefix="0" xfId="0">
      <alignment horizontal="right"/>
    </xf>
    <xf numFmtId="0" fontId="9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ASM 판매 보고서 엑셀 양식 (Merry 요청 3종)</t>
        </is>
      </c>
    </row>
    <row r="2">
      <c r="A2" s="2" t="inlineStr">
        <is>
          <t>요청자: Merry Maharani (Import &amp; Local Sales Dept.) · RR-20261027-003</t>
        </is>
      </c>
    </row>
    <row r="3">
      <c r="A3" s="2" t="inlineStr">
        <is>
          <t>용도: ASM ERP Reports 신규 보고서 엑셀 다운로드 출력 양식(안). 내부 관리용(필수문서 5종 아님).</t>
        </is>
      </c>
    </row>
    <row r="4">
      <c r="A4" s="2" t="inlineStr"/>
    </row>
    <row r="5">
      <c r="A5" s="3" t="inlineStr">
        <is>
          <t>시트 구성</t>
        </is>
      </c>
    </row>
    <row r="6">
      <c r="A6" s="2" t="inlineStr">
        <is>
          <t>1-1 SAL01_Summary : 4W Sales Summary (Type3 › Category › Brand)</t>
        </is>
      </c>
    </row>
    <row r="7">
      <c r="A7" s="2" t="inlineStr">
        <is>
          <t>2-1 SAL02_Summary : Summary SO by Customer</t>
        </is>
      </c>
    </row>
    <row r="8">
      <c r="A8" s="2" t="inlineStr">
        <is>
          <t>3-1 SAL03_Summary : Summary SO by Size</t>
        </is>
      </c>
    </row>
    <row r="9">
      <c r="A9" s="2" t="inlineStr">
        <is>
          <t>4 SAL_Data : SO/DN 라인 (고객 × 품목 교차, 지점·PIC 열 포함)</t>
        </is>
      </c>
    </row>
    <row r="10">
      <c r="A10" s="2" t="inlineStr"/>
    </row>
    <row r="11">
      <c r="A11" s="3" t="inlineStr">
        <is>
          <t>규칙</t>
        </is>
      </c>
    </row>
    <row r="12">
      <c r="A12" s="2" t="inlineStr">
        <is>
          <t>- Target Qty = 월 목표 마스터(브랜드·카테고리·지점) · Balance = SO − Aktual Delivery · GAP = SO − Plan</t>
        </is>
      </c>
    </row>
    <row r="13">
      <c r="A13" s="2" t="inlineStr">
        <is>
          <t>- 지점(SBY/SMR) Daily Sales는 2-1과 동일 양식 + Warehouse 필터 + PIC 열</t>
        </is>
      </c>
    </row>
    <row r="14">
      <c r="A14" s="2" t="inlineStr">
        <is>
          <t>- 금액 IDR(VAT 별도)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11" customWidth="1" min="4" max="4"/>
    <col width="12" customWidth="1" min="5" max="5"/>
    <col width="10" customWidth="1" min="6" max="6"/>
    <col width="9" customWidth="1" min="7" max="7"/>
    <col width="12" customWidth="1" min="8" max="8"/>
    <col width="16" customWidth="1" min="9" max="9"/>
    <col width="16" customWidth="1" min="10" max="10"/>
    <col width="12" customWidth="1" min="11" max="11"/>
    <col width="10" customWidth="1" min="12" max="12"/>
    <col width="18" customWidth="1" min="13" max="13"/>
  </cols>
  <sheetData>
    <row r="1">
      <c r="A1" s="4" t="inlineStr">
        <is>
          <t>PT ASCENDO INTERNASIONAL · INTERNAL MANAGEMENT REPORT (ASM ERP)</t>
        </is>
      </c>
    </row>
    <row r="2">
      <c r="A2" s="5" t="inlineStr">
        <is>
          <t>SAL-01 4W Sales Summary — October 2026 W-44 (27/Oct/26)</t>
        </is>
      </c>
    </row>
    <row r="3">
      <c r="A3" s="6" t="inlineStr">
        <is>
          <t>요청자: Merry Maharani (Import &amp; Local Sales Dept.) · RR-20261027-003  ·  ASM Menu: Reports › SALES › 4W Sales Summary  ·  Internal use only (필수문서 5종 아님)</t>
        </is>
      </c>
    </row>
    <row r="5" ht="30" customHeight="1">
      <c r="A5" s="7" t="inlineStr">
        <is>
          <t>Week</t>
        </is>
      </c>
      <c r="B5" s="7" t="inlineStr">
        <is>
          <t>Type 3</t>
        </is>
      </c>
      <c r="C5" s="7" t="inlineStr">
        <is>
          <t>Category</t>
        </is>
      </c>
      <c r="D5" s="7" t="inlineStr">
        <is>
          <t>Brand</t>
        </is>
      </c>
      <c r="E5" s="7" t="inlineStr">
        <is>
          <t>Total Weight (Kg)</t>
        </is>
      </c>
      <c r="F5" s="7" t="inlineStr">
        <is>
          <t>Target Qty</t>
        </is>
      </c>
      <c r="G5" s="7" t="inlineStr">
        <is>
          <t>SO Qty</t>
        </is>
      </c>
      <c r="H5" s="7" t="inlineStr">
        <is>
          <t>Plan Delivery Qty</t>
        </is>
      </c>
      <c r="I5" s="7" t="inlineStr">
        <is>
          <t>SO AMT (IDR)</t>
        </is>
      </c>
      <c r="J5" s="7" t="inlineStr">
        <is>
          <t>Plan Delivery AMT</t>
        </is>
      </c>
      <c r="K5" s="7" t="inlineStr">
        <is>
          <t>Aktual Delivery Qty</t>
        </is>
      </c>
      <c r="L5" s="7" t="inlineStr">
        <is>
          <t>Balance Qty</t>
        </is>
      </c>
      <c r="M5" s="7" t="inlineStr">
        <is>
          <t>Aktual Delivery AMT (IDR)</t>
        </is>
      </c>
    </row>
    <row r="6">
      <c r="A6" s="8" t="inlineStr">
        <is>
          <t>W-44</t>
        </is>
      </c>
      <c r="B6" s="8" t="inlineStr">
        <is>
          <t>TIRE</t>
        </is>
      </c>
      <c r="C6" s="8" t="inlineStr">
        <is>
          <t>RADIAL</t>
        </is>
      </c>
      <c r="D6" s="8" t="inlineStr">
        <is>
          <t>ASCENDO</t>
        </is>
      </c>
      <c r="E6" s="9" t="n">
        <v>0</v>
      </c>
      <c r="F6" s="9" t="n">
        <v>780</v>
      </c>
      <c r="G6" s="9" t="n">
        <v>1267</v>
      </c>
      <c r="H6" s="9" t="n">
        <v>1267</v>
      </c>
      <c r="I6" s="9" t="n">
        <v>3855659123</v>
      </c>
      <c r="J6" s="9" t="n">
        <v>3844087276</v>
      </c>
      <c r="K6" s="9" t="n">
        <v>1077</v>
      </c>
      <c r="L6" s="9" t="n">
        <v>190</v>
      </c>
      <c r="M6" s="9" t="n">
        <v>3284639456</v>
      </c>
    </row>
    <row r="7">
      <c r="A7" s="8" t="inlineStr">
        <is>
          <t>W-44</t>
        </is>
      </c>
      <c r="B7" s="8" t="inlineStr">
        <is>
          <t>TIRE</t>
        </is>
      </c>
      <c r="C7" s="8" t="inlineStr">
        <is>
          <t>RADIAL</t>
        </is>
      </c>
      <c r="D7" s="8" t="inlineStr">
        <is>
          <t>TECHKING</t>
        </is>
      </c>
      <c r="E7" s="9" t="n">
        <v>0</v>
      </c>
      <c r="F7" s="9" t="n">
        <v>520</v>
      </c>
      <c r="G7" s="9" t="n">
        <v>578</v>
      </c>
      <c r="H7" s="9" t="n">
        <v>578</v>
      </c>
      <c r="I7" s="9" t="n">
        <v>2229646068</v>
      </c>
      <c r="J7" s="9" t="n">
        <v>2224721474</v>
      </c>
      <c r="K7" s="9" t="n">
        <v>578</v>
      </c>
      <c r="L7" s="9" t="n">
        <v>0</v>
      </c>
      <c r="M7" s="9" t="n">
        <v>2224721474</v>
      </c>
    </row>
    <row r="8">
      <c r="A8" s="8" t="inlineStr">
        <is>
          <t>W-44</t>
        </is>
      </c>
      <c r="B8" s="8" t="inlineStr">
        <is>
          <t>TIRE</t>
        </is>
      </c>
      <c r="C8" s="8" t="inlineStr">
        <is>
          <t>OTR</t>
        </is>
      </c>
      <c r="D8" s="8" t="inlineStr">
        <is>
          <t>ASCENDO</t>
        </is>
      </c>
      <c r="E8" s="9" t="n">
        <v>0</v>
      </c>
      <c r="F8" s="9" t="n">
        <v>260</v>
      </c>
      <c r="G8" s="9" t="n">
        <v>190</v>
      </c>
      <c r="H8" s="9" t="n">
        <v>190</v>
      </c>
      <c r="I8" s="9" t="n">
        <v>1565792765</v>
      </c>
      <c r="J8" s="9" t="n">
        <v>1370636462</v>
      </c>
      <c r="K8" s="9" t="n">
        <v>190</v>
      </c>
      <c r="L8" s="9" t="n">
        <v>0</v>
      </c>
      <c r="M8" s="9" t="n">
        <v>1370636462</v>
      </c>
    </row>
    <row r="9">
      <c r="A9" s="8" t="inlineStr">
        <is>
          <t>W-44</t>
        </is>
      </c>
      <c r="B9" s="8" t="inlineStr">
        <is>
          <t>TIRE</t>
        </is>
      </c>
      <c r="C9" s="8" t="inlineStr">
        <is>
          <t>AGR</t>
        </is>
      </c>
      <c r="D9" s="8" t="inlineStr">
        <is>
          <t>ASCENDO</t>
        </is>
      </c>
      <c r="E9" s="9" t="n">
        <v>0</v>
      </c>
      <c r="F9" s="9" t="n">
        <v>650</v>
      </c>
      <c r="G9" s="9" t="n">
        <v>107</v>
      </c>
      <c r="H9" s="9" t="n">
        <v>107</v>
      </c>
      <c r="I9" s="9" t="n">
        <v>428612651</v>
      </c>
      <c r="J9" s="9" t="n">
        <v>379411381</v>
      </c>
      <c r="K9" s="9" t="n">
        <v>107</v>
      </c>
      <c r="L9" s="9" t="n">
        <v>0</v>
      </c>
      <c r="M9" s="9" t="n">
        <v>379411381</v>
      </c>
    </row>
    <row r="10">
      <c r="A10" s="8" t="inlineStr">
        <is>
          <t>W-44</t>
        </is>
      </c>
      <c r="B10" s="8" t="inlineStr">
        <is>
          <t>TIRE</t>
        </is>
      </c>
      <c r="C10" s="8" t="inlineStr">
        <is>
          <t>BIAS</t>
        </is>
      </c>
      <c r="D10" s="8" t="inlineStr">
        <is>
          <t>ASCENDO</t>
        </is>
      </c>
      <c r="E10" s="9" t="n">
        <v>0</v>
      </c>
      <c r="F10" s="9" t="n">
        <v>1750</v>
      </c>
      <c r="G10" s="9" t="n">
        <v>138</v>
      </c>
      <c r="H10" s="9" t="n">
        <v>138</v>
      </c>
      <c r="I10" s="9" t="n">
        <v>322879088</v>
      </c>
      <c r="J10" s="9" t="n">
        <v>290986715</v>
      </c>
      <c r="K10" s="9" t="n">
        <v>88</v>
      </c>
      <c r="L10" s="9" t="n">
        <v>50</v>
      </c>
      <c r="M10" s="9" t="n">
        <v>229743940</v>
      </c>
    </row>
    <row r="11">
      <c r="A11" s="8" t="inlineStr">
        <is>
          <t>W-44</t>
        </is>
      </c>
      <c r="B11" s="8" t="inlineStr">
        <is>
          <t>TIRE</t>
        </is>
      </c>
      <c r="C11" s="8" t="inlineStr">
        <is>
          <t>BIAS</t>
        </is>
      </c>
      <c r="D11" s="8" t="inlineStr">
        <is>
          <t>TIRON</t>
        </is>
      </c>
      <c r="E11" s="9" t="n">
        <v>0</v>
      </c>
      <c r="F11" s="9" t="n">
        <v>1750</v>
      </c>
      <c r="G11" s="9" t="n">
        <v>152</v>
      </c>
      <c r="H11" s="9" t="n">
        <v>152</v>
      </c>
      <c r="I11" s="9" t="n">
        <v>344301769</v>
      </c>
      <c r="J11" s="9" t="n">
        <v>344301769</v>
      </c>
      <c r="K11" s="9" t="n">
        <v>150</v>
      </c>
      <c r="L11" s="9" t="n">
        <v>2</v>
      </c>
      <c r="M11" s="9" t="n">
        <v>341148617</v>
      </c>
    </row>
    <row r="12">
      <c r="A12" s="8" t="inlineStr">
        <is>
          <t>W-44</t>
        </is>
      </c>
      <c r="B12" s="8" t="inlineStr">
        <is>
          <t>TIRE</t>
        </is>
      </c>
      <c r="C12" s="8" t="inlineStr">
        <is>
          <t>SOLID</t>
        </is>
      </c>
      <c r="D12" s="8" t="inlineStr">
        <is>
          <t>ASCENDO</t>
        </is>
      </c>
      <c r="E12" s="9" t="n">
        <v>0</v>
      </c>
      <c r="F12" s="9" t="n">
        <v>1810</v>
      </c>
      <c r="G12" s="9" t="n">
        <v>600</v>
      </c>
      <c r="H12" s="9" t="n">
        <v>600</v>
      </c>
      <c r="I12" s="9" t="n">
        <v>1150818304</v>
      </c>
      <c r="J12" s="9" t="n">
        <v>1049415955</v>
      </c>
      <c r="K12" s="9" t="n">
        <v>574</v>
      </c>
      <c r="L12" s="9" t="n">
        <v>26</v>
      </c>
      <c r="M12" s="9" t="n">
        <v>998757393</v>
      </c>
    </row>
    <row r="13">
      <c r="A13" s="8" t="inlineStr">
        <is>
          <t>W-44</t>
        </is>
      </c>
      <c r="B13" s="8" t="inlineStr">
        <is>
          <t>TIRE</t>
        </is>
      </c>
      <c r="C13" s="8" t="inlineStr">
        <is>
          <t>SOLID</t>
        </is>
      </c>
      <c r="D13" s="8" t="inlineStr">
        <is>
          <t>DIAMOND</t>
        </is>
      </c>
      <c r="E13" s="9" t="n">
        <v>0</v>
      </c>
      <c r="F13" s="9" t="n">
        <v>1810</v>
      </c>
      <c r="G13" s="9" t="n">
        <v>184</v>
      </c>
      <c r="H13" s="9" t="n">
        <v>184</v>
      </c>
      <c r="I13" s="9" t="n">
        <v>310887564</v>
      </c>
      <c r="J13" s="9" t="n">
        <v>299271799</v>
      </c>
      <c r="K13" s="9" t="n">
        <v>184</v>
      </c>
      <c r="L13" s="9" t="n">
        <v>0</v>
      </c>
      <c r="M13" s="9" t="n">
        <v>299271799</v>
      </c>
    </row>
    <row r="14">
      <c r="A14" s="8" t="inlineStr">
        <is>
          <t>W-44</t>
        </is>
      </c>
      <c r="B14" s="8" t="inlineStr">
        <is>
          <t>TIRE</t>
        </is>
      </c>
      <c r="C14" s="8" t="inlineStr">
        <is>
          <t>SOLID</t>
        </is>
      </c>
      <c r="D14" s="8" t="inlineStr">
        <is>
          <t>STARKUS</t>
        </is>
      </c>
      <c r="E14" s="9" t="n">
        <v>0</v>
      </c>
      <c r="F14" s="9" t="n">
        <v>1810</v>
      </c>
      <c r="G14" s="9" t="n">
        <v>20</v>
      </c>
      <c r="H14" s="9" t="n">
        <v>20</v>
      </c>
      <c r="I14" s="9" t="n">
        <v>105405400</v>
      </c>
      <c r="J14" s="9" t="n">
        <v>105405400</v>
      </c>
      <c r="K14" s="9" t="n">
        <v>20</v>
      </c>
      <c r="L14" s="9" t="n">
        <v>0</v>
      </c>
      <c r="M14" s="9" t="n">
        <v>105405400</v>
      </c>
    </row>
    <row r="15">
      <c r="A15" s="8" t="inlineStr">
        <is>
          <t>W-44</t>
        </is>
      </c>
      <c r="B15" s="8" t="inlineStr">
        <is>
          <t>TIRE Total</t>
        </is>
      </c>
      <c r="C15" s="8" t="inlineStr"/>
      <c r="D15" s="8" t="inlineStr"/>
      <c r="E15" s="9" t="n">
        <v>0</v>
      </c>
      <c r="F15" s="9" t="n">
        <v>1303</v>
      </c>
      <c r="G15" s="9" t="n">
        <v>3236</v>
      </c>
      <c r="H15" s="9" t="n">
        <v>3236</v>
      </c>
      <c r="I15" s="9" t="n">
        <v>10314002732</v>
      </c>
      <c r="J15" s="9" t="n">
        <v>9908238232</v>
      </c>
      <c r="K15" s="9" t="n">
        <v>2968</v>
      </c>
      <c r="L15" s="9" t="n">
        <v>268</v>
      </c>
      <c r="M15" s="9" t="n">
        <v>9233735923</v>
      </c>
    </row>
    <row r="16">
      <c r="A16" s="8" t="inlineStr">
        <is>
          <t>W-44</t>
        </is>
      </c>
      <c r="B16" s="8" t="inlineStr">
        <is>
          <t>TUBE</t>
        </is>
      </c>
      <c r="C16" s="8" t="inlineStr">
        <is>
          <t>TUBE</t>
        </is>
      </c>
      <c r="D16" s="8" t="inlineStr">
        <is>
          <t>ASCENDO</t>
        </is>
      </c>
      <c r="E16" s="9" t="n">
        <v>83045</v>
      </c>
      <c r="F16" s="9" t="n">
        <v>45000</v>
      </c>
      <c r="G16" s="9" t="n">
        <v>21191</v>
      </c>
      <c r="H16" s="9" t="n">
        <v>21191</v>
      </c>
      <c r="I16" s="9" t="n">
        <v>5645800508</v>
      </c>
      <c r="J16" s="9" t="n">
        <v>5194183575</v>
      </c>
      <c r="K16" s="9" t="n">
        <v>19882</v>
      </c>
      <c r="L16" s="9" t="n">
        <v>1309</v>
      </c>
      <c r="M16" s="9" t="n">
        <v>4717009173</v>
      </c>
    </row>
    <row r="17">
      <c r="A17" s="8" t="inlineStr">
        <is>
          <t>W-44</t>
        </is>
      </c>
      <c r="B17" s="8" t="inlineStr">
        <is>
          <t>TUBE</t>
        </is>
      </c>
      <c r="C17" s="8" t="inlineStr">
        <is>
          <t>TUBE</t>
        </is>
      </c>
      <c r="D17" s="8" t="inlineStr">
        <is>
          <t>DIAMOND</t>
        </is>
      </c>
      <c r="E17" s="9" t="n">
        <v>0</v>
      </c>
      <c r="F17" s="9" t="n">
        <v>45000</v>
      </c>
      <c r="G17" s="9" t="n">
        <v>349</v>
      </c>
      <c r="H17" s="9" t="n">
        <v>349</v>
      </c>
      <c r="I17" s="9" t="n">
        <v>129853115</v>
      </c>
      <c r="J17" s="9" t="n">
        <v>113466529</v>
      </c>
      <c r="K17" s="9" t="n">
        <v>349</v>
      </c>
      <c r="L17" s="9" t="n">
        <v>0</v>
      </c>
      <c r="M17" s="9" t="n">
        <v>113466529</v>
      </c>
    </row>
    <row r="18">
      <c r="A18" s="8" t="inlineStr">
        <is>
          <t>W-44</t>
        </is>
      </c>
      <c r="B18" s="8" t="inlineStr">
        <is>
          <t>TUBE</t>
        </is>
      </c>
      <c r="C18" s="8" t="inlineStr">
        <is>
          <t>TUBE</t>
        </is>
      </c>
      <c r="D18" s="8" t="inlineStr">
        <is>
          <t>TRUCKORR</t>
        </is>
      </c>
      <c r="E18" s="9" t="n">
        <v>0</v>
      </c>
      <c r="F18" s="9" t="n">
        <v>45000</v>
      </c>
      <c r="G18" s="9" t="n">
        <v>1400</v>
      </c>
      <c r="H18" s="9" t="n">
        <v>1400</v>
      </c>
      <c r="I18" s="9" t="n">
        <v>249098100</v>
      </c>
      <c r="J18" s="9" t="n">
        <v>241625157</v>
      </c>
      <c r="K18" s="9" t="n">
        <v>1400</v>
      </c>
      <c r="L18" s="9" t="n">
        <v>0</v>
      </c>
      <c r="M18" s="9" t="n">
        <v>241625157</v>
      </c>
    </row>
    <row r="19">
      <c r="A19" s="8" t="inlineStr">
        <is>
          <t>W-44</t>
        </is>
      </c>
      <c r="B19" s="8" t="inlineStr">
        <is>
          <t>TUBE</t>
        </is>
      </c>
      <c r="C19" s="8" t="inlineStr">
        <is>
          <t>TUBE</t>
        </is>
      </c>
      <c r="D19" s="8" t="inlineStr">
        <is>
          <t>UNINEST</t>
        </is>
      </c>
      <c r="E19" s="9" t="n">
        <v>0</v>
      </c>
      <c r="F19" s="9" t="n">
        <v>45000</v>
      </c>
      <c r="G19" s="9" t="n">
        <v>500</v>
      </c>
      <c r="H19" s="9" t="n">
        <v>500</v>
      </c>
      <c r="I19" s="9" t="n">
        <v>404054000</v>
      </c>
      <c r="J19" s="9" t="n">
        <v>345466170</v>
      </c>
      <c r="K19" s="9" t="n">
        <v>500</v>
      </c>
      <c r="L19" s="9" t="n">
        <v>0</v>
      </c>
      <c r="M19" s="9" t="n">
        <v>345466170</v>
      </c>
    </row>
    <row r="20">
      <c r="A20" s="8" t="inlineStr">
        <is>
          <t>W-44</t>
        </is>
      </c>
      <c r="B20" s="8" t="inlineStr">
        <is>
          <t>TUBE</t>
        </is>
      </c>
      <c r="C20" s="8" t="inlineStr">
        <is>
          <t>TUBE</t>
        </is>
      </c>
      <c r="D20" s="8" t="inlineStr">
        <is>
          <t>HANTA</t>
        </is>
      </c>
      <c r="E20" s="9" t="n">
        <v>0</v>
      </c>
      <c r="F20" s="9" t="n">
        <v>45000</v>
      </c>
      <c r="G20" s="9" t="n">
        <v>844</v>
      </c>
      <c r="H20" s="9" t="n">
        <v>844</v>
      </c>
      <c r="I20" s="9" t="n">
        <v>280609106</v>
      </c>
      <c r="J20" s="9" t="n">
        <v>258160378</v>
      </c>
      <c r="K20" s="9" t="n">
        <v>844</v>
      </c>
      <c r="L20" s="9" t="n">
        <v>0</v>
      </c>
      <c r="M20" s="9" t="n">
        <v>258160378</v>
      </c>
    </row>
    <row r="21">
      <c r="A21" s="8" t="inlineStr">
        <is>
          <t>W-44</t>
        </is>
      </c>
      <c r="B21" s="8" t="inlineStr">
        <is>
          <t>TUBE Total</t>
        </is>
      </c>
      <c r="C21" s="8" t="inlineStr"/>
      <c r="D21" s="8" t="inlineStr"/>
      <c r="E21" s="9" t="n">
        <v>83045</v>
      </c>
      <c r="F21" s="9" t="n">
        <v>45000</v>
      </c>
      <c r="G21" s="9" t="n">
        <v>24284</v>
      </c>
      <c r="H21" s="9" t="n">
        <v>24284</v>
      </c>
      <c r="I21" s="9" t="n">
        <v>6709414829</v>
      </c>
      <c r="J21" s="9" t="n">
        <v>6152901809</v>
      </c>
      <c r="K21" s="9" t="n">
        <v>22975</v>
      </c>
      <c r="L21" s="9" t="n">
        <v>1309</v>
      </c>
      <c r="M21" s="9" t="n">
        <v>5675727407</v>
      </c>
    </row>
    <row r="22">
      <c r="A22" s="8" t="inlineStr">
        <is>
          <t>W-44</t>
        </is>
      </c>
      <c r="B22" s="8" t="inlineStr">
        <is>
          <t>FLAP</t>
        </is>
      </c>
      <c r="C22" s="8" t="inlineStr">
        <is>
          <t>FLAP</t>
        </is>
      </c>
      <c r="D22" s="8" t="inlineStr">
        <is>
          <t>ASCENDO</t>
        </is>
      </c>
      <c r="E22" s="9" t="n">
        <v>39129</v>
      </c>
      <c r="F22" s="9" t="n">
        <v>19900</v>
      </c>
      <c r="G22" s="9" t="n">
        <v>17748</v>
      </c>
      <c r="H22" s="9" t="n">
        <v>17748</v>
      </c>
      <c r="I22" s="9" t="n">
        <v>1434339263</v>
      </c>
      <c r="J22" s="9" t="n">
        <v>1357455584</v>
      </c>
      <c r="K22" s="9" t="n">
        <v>13688</v>
      </c>
      <c r="L22" s="9" t="n">
        <v>4060</v>
      </c>
      <c r="M22" s="9" t="n">
        <v>1029901102</v>
      </c>
    </row>
    <row r="23">
      <c r="A23" s="8" t="inlineStr">
        <is>
          <t>W-44</t>
        </is>
      </c>
      <c r="B23" s="8" t="inlineStr">
        <is>
          <t>FLAP</t>
        </is>
      </c>
      <c r="C23" s="8" t="inlineStr">
        <is>
          <t>FLAP</t>
        </is>
      </c>
      <c r="D23" s="8" t="inlineStr">
        <is>
          <t>TRUCKORR</t>
        </is>
      </c>
      <c r="E23" s="9" t="n">
        <v>0</v>
      </c>
      <c r="F23" s="9" t="n">
        <v>19900</v>
      </c>
      <c r="G23" s="9" t="n">
        <v>1560</v>
      </c>
      <c r="H23" s="9" t="n">
        <v>1560</v>
      </c>
      <c r="I23" s="9" t="n">
        <v>84953780</v>
      </c>
      <c r="J23" s="9" t="n">
        <v>82405167</v>
      </c>
      <c r="K23" s="9" t="n">
        <v>1560</v>
      </c>
      <c r="L23" s="9" t="n">
        <v>0</v>
      </c>
      <c r="M23" s="9" t="n">
        <v>82405167</v>
      </c>
    </row>
    <row r="24">
      <c r="A24" s="8" t="inlineStr">
        <is>
          <t>W-44</t>
        </is>
      </c>
      <c r="B24" s="8" t="inlineStr">
        <is>
          <t>FLAP Total</t>
        </is>
      </c>
      <c r="C24" s="8" t="inlineStr"/>
      <c r="D24" s="8" t="inlineStr"/>
      <c r="E24" s="9" t="n">
        <v>39129</v>
      </c>
      <c r="F24" s="9" t="n">
        <v>19900</v>
      </c>
      <c r="G24" s="9" t="n">
        <v>19308</v>
      </c>
      <c r="H24" s="9" t="n">
        <v>19308</v>
      </c>
      <c r="I24" s="9" t="n">
        <v>1519293043</v>
      </c>
      <c r="J24" s="9" t="n">
        <v>1439860750</v>
      </c>
      <c r="K24" s="9" t="n">
        <v>15248</v>
      </c>
      <c r="L24" s="9" t="n">
        <v>4060</v>
      </c>
      <c r="M24" s="9" t="n">
        <v>1112306269</v>
      </c>
    </row>
    <row r="25">
      <c r="A25" s="8" t="inlineStr">
        <is>
          <t>W-44</t>
        </is>
      </c>
      <c r="B25" s="8" t="inlineStr">
        <is>
          <t>VULKANISIRJADI</t>
        </is>
      </c>
      <c r="C25" s="8" t="inlineStr">
        <is>
          <t>VULKANISIRJADI</t>
        </is>
      </c>
      <c r="D25" s="8" t="inlineStr">
        <is>
          <t>GIS</t>
        </is>
      </c>
      <c r="E25" s="9" t="n">
        <v>0</v>
      </c>
      <c r="F25" s="9" t="n">
        <v>1200</v>
      </c>
      <c r="G25" s="9" t="n">
        <v>14</v>
      </c>
      <c r="H25" s="9" t="n">
        <v>14</v>
      </c>
      <c r="I25" s="9" t="n">
        <v>24214000</v>
      </c>
      <c r="J25" s="9" t="n">
        <v>24214000</v>
      </c>
      <c r="K25" s="9" t="n">
        <v>14</v>
      </c>
      <c r="L25" s="9" t="n">
        <v>0</v>
      </c>
      <c r="M25" s="9" t="n">
        <v>24214000</v>
      </c>
    </row>
    <row r="26">
      <c r="A26" s="8" t="inlineStr">
        <is>
          <t>W-44</t>
        </is>
      </c>
      <c r="B26" s="8" t="inlineStr">
        <is>
          <t>VULKANISIRJASA</t>
        </is>
      </c>
      <c r="C26" s="8" t="inlineStr">
        <is>
          <t>VULKANISIRJASA</t>
        </is>
      </c>
      <c r="D26" s="8" t="inlineStr">
        <is>
          <t>GIS</t>
        </is>
      </c>
      <c r="E26" s="9" t="n">
        <v>0</v>
      </c>
      <c r="F26" s="9" t="n">
        <v>1200</v>
      </c>
      <c r="G26" s="9" t="n">
        <v>114</v>
      </c>
      <c r="H26" s="9" t="n">
        <v>114</v>
      </c>
      <c r="I26" s="9" t="n">
        <v>62400000</v>
      </c>
      <c r="J26" s="9" t="n">
        <v>62400000</v>
      </c>
      <c r="K26" s="9" t="n">
        <v>114</v>
      </c>
      <c r="L26" s="9" t="n">
        <v>0</v>
      </c>
      <c r="M26" s="9" t="n">
        <v>62400000</v>
      </c>
    </row>
    <row r="27">
      <c r="A27" s="8" t="inlineStr">
        <is>
          <t>W-44</t>
        </is>
      </c>
      <c r="B27" s="8" t="inlineStr">
        <is>
          <t>OTHER</t>
        </is>
      </c>
      <c r="C27" s="8" t="inlineStr">
        <is>
          <t>JASA</t>
        </is>
      </c>
      <c r="D27" s="8" t="inlineStr">
        <is>
          <t>GIS</t>
        </is>
      </c>
      <c r="E27" s="9" t="n">
        <v>0</v>
      </c>
      <c r="F27" s="9" t="n">
        <v>0</v>
      </c>
      <c r="G27" s="9" t="n">
        <v>114</v>
      </c>
      <c r="H27" s="9" t="n">
        <v>114</v>
      </c>
      <c r="I27" s="9" t="n">
        <v>18240000</v>
      </c>
      <c r="J27" s="9" t="n">
        <v>18240000</v>
      </c>
      <c r="K27" s="9" t="n">
        <v>114</v>
      </c>
      <c r="L27" s="9" t="n">
        <v>0</v>
      </c>
      <c r="M27" s="9" t="n">
        <v>18240000</v>
      </c>
    </row>
    <row r="28">
      <c r="A28" s="8" t="inlineStr">
        <is>
          <t>W-44</t>
        </is>
      </c>
      <c r="B28" s="8" t="inlineStr">
        <is>
          <t>Services</t>
        </is>
      </c>
      <c r="C28" s="8" t="inlineStr">
        <is>
          <t>SERVICES</t>
        </is>
      </c>
      <c r="D28" s="8" t="inlineStr">
        <is>
          <t>ASCENDO</t>
        </is>
      </c>
      <c r="E28" s="9" t="n">
        <v>0</v>
      </c>
      <c r="F28" s="9" t="n">
        <v>0</v>
      </c>
      <c r="G28" s="9" t="n">
        <v>4</v>
      </c>
      <c r="H28" s="9" t="n">
        <v>4</v>
      </c>
      <c r="I28" s="9" t="n">
        <v>1171168</v>
      </c>
      <c r="J28" s="9" t="n">
        <v>1171168</v>
      </c>
      <c r="K28" s="9" t="n">
        <v>4</v>
      </c>
      <c r="L28" s="9" t="n">
        <v>0</v>
      </c>
      <c r="M28" s="9" t="n">
        <v>1171168</v>
      </c>
    </row>
    <row r="29">
      <c r="A29" s="10" t="inlineStr">
        <is>
          <t>Grand Total</t>
        </is>
      </c>
      <c r="B29" s="10" t="inlineStr"/>
      <c r="C29" s="10" t="inlineStr"/>
      <c r="D29" s="10" t="inlineStr"/>
      <c r="E29" s="11" t="n">
        <v>122173</v>
      </c>
      <c r="F29" s="11" t="n">
        <v>24165</v>
      </c>
      <c r="G29" s="11" t="n">
        <v>47074</v>
      </c>
      <c r="H29" s="11" t="n">
        <v>47074</v>
      </c>
      <c r="I29" s="11" t="n">
        <v>18648735772</v>
      </c>
      <c r="J29" s="11" t="n">
        <v>17607025959</v>
      </c>
      <c r="K29" s="11" t="n">
        <v>41437</v>
      </c>
      <c r="L29" s="11" t="n">
        <v>5637</v>
      </c>
      <c r="M29" s="11" t="n">
        <v>16127794767</v>
      </c>
    </row>
  </sheetData>
  <autoFilter ref="A5:M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9" customWidth="1" min="3" max="3"/>
    <col width="10" customWidth="1" min="4" max="4"/>
    <col width="10" customWidth="1" min="5" max="5"/>
    <col width="16" customWidth="1" min="6" max="6"/>
    <col width="34" customWidth="1" min="7" max="7"/>
    <col width="9" customWidth="1" min="8" max="8"/>
    <col width="10" customWidth="1" min="9" max="9"/>
    <col width="10" customWidth="1" min="10" max="10"/>
    <col width="8" customWidth="1" min="11" max="11"/>
    <col width="11" customWidth="1" min="12" max="12"/>
    <col width="12" customWidth="1" min="13" max="13"/>
    <col width="9" customWidth="1" min="14" max="14"/>
    <col width="10" customWidth="1" min="15" max="15"/>
  </cols>
  <sheetData>
    <row r="1">
      <c r="A1" s="4" t="inlineStr">
        <is>
          <t>PT ASCENDO INTERNASIONAL · INTERNAL MANAGEMENT REPORT (ASM ERP)</t>
        </is>
      </c>
    </row>
    <row r="2">
      <c r="A2" s="5" t="inlineStr">
        <is>
          <t>SAL-02 Summary SO by Customer — October 2026 W-44</t>
        </is>
      </c>
    </row>
    <row r="3">
      <c r="A3" s="6" t="inlineStr">
        <is>
          <t>요청자: Merry Maharani (Import &amp; Local Sales Dept.) · RR-20261027-003  ·  ASM Menu: Reports › SALES › Summary SO by Customer  ·  Internal use only (필수문서 5종 아님)</t>
        </is>
      </c>
    </row>
    <row r="5" ht="30" customHeight="1">
      <c r="A5" s="7" t="inlineStr">
        <is>
          <t>Month</t>
        </is>
      </c>
      <c r="B5" s="7" t="inlineStr">
        <is>
          <t>Week</t>
        </is>
      </c>
      <c r="C5" s="7" t="inlineStr">
        <is>
          <t>Warehouse</t>
        </is>
      </c>
      <c r="D5" s="7" t="inlineStr">
        <is>
          <t>Category</t>
        </is>
      </c>
      <c r="E5" s="7" t="inlineStr">
        <is>
          <t>Target Delivery</t>
        </is>
      </c>
      <c r="F5" s="7" t="inlineStr">
        <is>
          <t>Brand</t>
        </is>
      </c>
      <c r="G5" s="7" t="inlineStr">
        <is>
          <t>Buyer</t>
        </is>
      </c>
      <c r="H5" s="7" t="inlineStr">
        <is>
          <t>Buyer Branch</t>
        </is>
      </c>
      <c r="I5" s="7" t="inlineStr">
        <is>
          <t>PIC</t>
        </is>
      </c>
      <c r="J5" s="7" t="inlineStr">
        <is>
          <t>Target Qty</t>
        </is>
      </c>
      <c r="K5" s="7" t="inlineStr">
        <is>
          <t>SO</t>
        </is>
      </c>
      <c r="L5" s="7" t="inlineStr">
        <is>
          <t>Plan Delivery</t>
        </is>
      </c>
      <c r="M5" s="7" t="inlineStr">
        <is>
          <t>Aktual Delivery</t>
        </is>
      </c>
      <c r="N5" s="7" t="inlineStr">
        <is>
          <t>Balance</t>
        </is>
      </c>
      <c r="O5" s="7" t="inlineStr">
        <is>
          <t>GAP SO−Plan</t>
        </is>
      </c>
    </row>
    <row r="6">
      <c r="A6" s="8" t="inlineStr">
        <is>
          <t>2026-10</t>
        </is>
      </c>
      <c r="B6" s="8" t="inlineStr">
        <is>
          <t>W-44</t>
        </is>
      </c>
      <c r="C6" s="8" t="inlineStr">
        <is>
          <t>ALL</t>
        </is>
      </c>
      <c r="D6" s="8" t="inlineStr">
        <is>
          <t>RADIAL</t>
        </is>
      </c>
      <c r="E6" s="8" t="inlineStr">
        <is>
          <t>Okt</t>
        </is>
      </c>
      <c r="F6" s="8" t="inlineStr">
        <is>
          <t>ASCENDO</t>
        </is>
      </c>
      <c r="G6" s="8" t="inlineStr">
        <is>
          <t>PT. SUMBER SAKTI PRIMA MANDIRI</t>
        </is>
      </c>
      <c r="H6" s="8" t="inlineStr">
        <is>
          <t>JKT</t>
        </is>
      </c>
      <c r="I6" s="8" t="inlineStr"/>
      <c r="J6" s="8" t="n"/>
      <c r="K6" s="9" t="n">
        <v>548</v>
      </c>
      <c r="L6" s="9" t="n">
        <v>548</v>
      </c>
      <c r="M6" s="9" t="n">
        <v>424</v>
      </c>
      <c r="N6" s="9" t="n">
        <v>124</v>
      </c>
      <c r="O6" s="9" t="n">
        <v>0</v>
      </c>
    </row>
    <row r="7">
      <c r="A7" s="8" t="inlineStr">
        <is>
          <t>2026-10</t>
        </is>
      </c>
      <c r="B7" s="8" t="inlineStr">
        <is>
          <t>W-44</t>
        </is>
      </c>
      <c r="C7" s="8" t="inlineStr">
        <is>
          <t>ALL</t>
        </is>
      </c>
      <c r="D7" s="8" t="inlineStr">
        <is>
          <t>RADIAL</t>
        </is>
      </c>
      <c r="E7" s="8" t="inlineStr">
        <is>
          <t>Okt</t>
        </is>
      </c>
      <c r="F7" s="8" t="inlineStr">
        <is>
          <t>ASCENDO</t>
        </is>
      </c>
      <c r="G7" s="8" t="inlineStr">
        <is>
          <t>PT. BAN ANUGRAH NUSANTARA</t>
        </is>
      </c>
      <c r="H7" s="8" t="inlineStr">
        <is>
          <t>JKT</t>
        </is>
      </c>
      <c r="I7" s="8" t="inlineStr"/>
      <c r="J7" s="8" t="n"/>
      <c r="K7" s="9" t="n">
        <v>372</v>
      </c>
      <c r="L7" s="9" t="n">
        <v>372</v>
      </c>
      <c r="M7" s="9" t="n">
        <v>358</v>
      </c>
      <c r="N7" s="9" t="n">
        <v>14</v>
      </c>
      <c r="O7" s="9" t="n">
        <v>0</v>
      </c>
    </row>
    <row r="8">
      <c r="A8" s="8" t="inlineStr">
        <is>
          <t>2026-10</t>
        </is>
      </c>
      <c r="B8" s="8" t="inlineStr">
        <is>
          <t>W-44</t>
        </is>
      </c>
      <c r="C8" s="8" t="inlineStr">
        <is>
          <t>ALL</t>
        </is>
      </c>
      <c r="D8" s="8" t="inlineStr">
        <is>
          <t>RADIAL</t>
        </is>
      </c>
      <c r="E8" s="8" t="inlineStr">
        <is>
          <t>Okt</t>
        </is>
      </c>
      <c r="F8" s="8" t="inlineStr">
        <is>
          <t>ASCENDO</t>
        </is>
      </c>
      <c r="G8" s="8" t="inlineStr">
        <is>
          <t>PT. STARINDO JAYA MAKMUR</t>
        </is>
      </c>
      <c r="H8" s="8" t="inlineStr">
        <is>
          <t>SBY</t>
        </is>
      </c>
      <c r="I8" s="8" t="inlineStr"/>
      <c r="J8" s="8" t="n"/>
      <c r="K8" s="9" t="n">
        <v>9</v>
      </c>
      <c r="L8" s="9" t="n">
        <v>9</v>
      </c>
      <c r="M8" s="9" t="n">
        <v>7</v>
      </c>
      <c r="N8" s="9" t="n">
        <v>2</v>
      </c>
      <c r="O8" s="9" t="n">
        <v>0</v>
      </c>
    </row>
    <row r="9">
      <c r="A9" s="8" t="inlineStr">
        <is>
          <t>2026-10</t>
        </is>
      </c>
      <c r="B9" s="8" t="inlineStr">
        <is>
          <t>W-44</t>
        </is>
      </c>
      <c r="C9" s="8" t="inlineStr">
        <is>
          <t>ALL</t>
        </is>
      </c>
      <c r="D9" s="8" t="inlineStr">
        <is>
          <t>RADIAL</t>
        </is>
      </c>
      <c r="E9" s="8" t="inlineStr">
        <is>
          <t>Okt</t>
        </is>
      </c>
      <c r="F9" s="8" t="inlineStr">
        <is>
          <t>ASCENDO Total</t>
        </is>
      </c>
      <c r="G9" s="8" t="inlineStr"/>
      <c r="H9" s="8" t="inlineStr"/>
      <c r="I9" s="8" t="inlineStr"/>
      <c r="J9" s="9" t="n">
        <v>780</v>
      </c>
      <c r="K9" s="9" t="n">
        <v>1267</v>
      </c>
      <c r="L9" s="9" t="n">
        <v>1267</v>
      </c>
      <c r="M9" s="9" t="n">
        <v>1077</v>
      </c>
      <c r="N9" s="9" t="n">
        <v>190</v>
      </c>
      <c r="O9" s="9" t="n">
        <v>0</v>
      </c>
    </row>
    <row r="10">
      <c r="A10" s="8" t="inlineStr">
        <is>
          <t>2026-10</t>
        </is>
      </c>
      <c r="B10" s="8" t="inlineStr">
        <is>
          <t>W-44</t>
        </is>
      </c>
      <c r="C10" s="8" t="inlineStr">
        <is>
          <t>ALL</t>
        </is>
      </c>
      <c r="D10" s="8" t="inlineStr">
        <is>
          <t>RADIAL</t>
        </is>
      </c>
      <c r="E10" s="8" t="inlineStr">
        <is>
          <t>Okt</t>
        </is>
      </c>
      <c r="F10" s="8" t="inlineStr">
        <is>
          <t>TECHKING</t>
        </is>
      </c>
      <c r="G10" s="8" t="inlineStr">
        <is>
          <t>PT. ERA TEKNIK MULTIPOLAR</t>
        </is>
      </c>
      <c r="H10" s="8" t="inlineStr">
        <is>
          <t>JKT</t>
        </is>
      </c>
      <c r="I10" s="8" t="inlineStr"/>
      <c r="J10" s="8" t="n"/>
      <c r="K10" s="9" t="n">
        <v>360</v>
      </c>
      <c r="L10" s="9" t="n">
        <v>360</v>
      </c>
      <c r="M10" s="9" t="n">
        <v>360</v>
      </c>
      <c r="N10" s="9" t="n">
        <v>0</v>
      </c>
      <c r="O10" s="9" t="n">
        <v>0</v>
      </c>
    </row>
    <row r="11">
      <c r="A11" s="8" t="inlineStr">
        <is>
          <t>2026-10</t>
        </is>
      </c>
      <c r="B11" s="8" t="inlineStr">
        <is>
          <t>W-44</t>
        </is>
      </c>
      <c r="C11" s="8" t="inlineStr">
        <is>
          <t>ALL</t>
        </is>
      </c>
      <c r="D11" s="8" t="inlineStr">
        <is>
          <t>RADIAL</t>
        </is>
      </c>
      <c r="E11" s="8" t="inlineStr">
        <is>
          <t>Okt</t>
        </is>
      </c>
      <c r="F11" s="8" t="inlineStr">
        <is>
          <t>TECHKING Total</t>
        </is>
      </c>
      <c r="G11" s="8" t="inlineStr"/>
      <c r="H11" s="8" t="inlineStr"/>
      <c r="I11" s="8" t="inlineStr"/>
      <c r="J11" s="9" t="n">
        <v>520</v>
      </c>
      <c r="K11" s="9" t="n">
        <v>578</v>
      </c>
      <c r="L11" s="9" t="n">
        <v>578</v>
      </c>
      <c r="M11" s="9" t="n">
        <v>578</v>
      </c>
      <c r="N11" s="9" t="n">
        <v>0</v>
      </c>
      <c r="O11" s="9" t="n">
        <v>0</v>
      </c>
    </row>
    <row r="14">
      <c r="A14" s="12" t="inlineStr">
        <is>
          <t>NOTE</t>
        </is>
      </c>
    </row>
    <row r="15">
      <c r="A15" s="13" t="inlineStr">
        <is>
          <t>1. Warehouse 필터 = 지점 선택 시 PIC 열 사용 (SBY: YONO/HARI/RIZKI · SMR: JOKO/FIRMAN/AHMAD ARIF)</t>
        </is>
      </c>
    </row>
  </sheetData>
  <autoFilter ref="A5:O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9" customWidth="1" min="3" max="3"/>
    <col width="10" customWidth="1" min="4" max="4"/>
    <col width="10" customWidth="1" min="5" max="5"/>
    <col width="11" customWidth="1" min="6" max="6"/>
    <col width="16" customWidth="1" min="7" max="7"/>
    <col width="28" customWidth="1" min="8" max="8"/>
    <col width="6" customWidth="1" min="9" max="9"/>
    <col width="8" customWidth="1" min="10" max="10"/>
    <col width="11" customWidth="1" min="11" max="11"/>
    <col width="12" customWidth="1" min="12" max="12"/>
    <col width="9" customWidth="1" min="13" max="13"/>
  </cols>
  <sheetData>
    <row r="1">
      <c r="A1" s="4" t="inlineStr">
        <is>
          <t>PT ASCENDO INTERNASIONAL · INTERNAL MANAGEMENT REPORT (ASM ERP)</t>
        </is>
      </c>
    </row>
    <row r="2">
      <c r="A2" s="5" t="inlineStr">
        <is>
          <t>SAL-03 Summary SO by Size — October 2026 W-44</t>
        </is>
      </c>
    </row>
    <row r="3">
      <c r="A3" s="6" t="inlineStr">
        <is>
          <t>요청자: Merry Maharani (Import &amp; Local Sales Dept.) · RR-20261027-003  ·  ASM Menu: Reports › SALES › Summary SO by Size  ·  Internal use only (필수문서 5종 아님)</t>
        </is>
      </c>
    </row>
    <row r="5" ht="30" customHeight="1">
      <c r="A5" s="7" t="inlineStr">
        <is>
          <t>Month</t>
        </is>
      </c>
      <c r="B5" s="7" t="inlineStr">
        <is>
          <t>Week</t>
        </is>
      </c>
      <c r="C5" s="7" t="inlineStr">
        <is>
          <t>Warehouse</t>
        </is>
      </c>
      <c r="D5" s="7" t="inlineStr">
        <is>
          <t>Category</t>
        </is>
      </c>
      <c r="E5" s="7" t="inlineStr">
        <is>
          <t>Target Delivery</t>
        </is>
      </c>
      <c r="F5" s="7" t="inlineStr">
        <is>
          <t>Brand</t>
        </is>
      </c>
      <c r="G5" s="7" t="inlineStr">
        <is>
          <t>Product Code</t>
        </is>
      </c>
      <c r="H5" s="7" t="inlineStr">
        <is>
          <t>Description</t>
        </is>
      </c>
      <c r="I5" s="7" t="inlineStr">
        <is>
          <t>Grade</t>
        </is>
      </c>
      <c r="J5" s="7" t="inlineStr">
        <is>
          <t>SO</t>
        </is>
      </c>
      <c r="K5" s="7" t="inlineStr">
        <is>
          <t>Plan Delivery</t>
        </is>
      </c>
      <c r="L5" s="7" t="inlineStr">
        <is>
          <t>Aktual Delivery</t>
        </is>
      </c>
      <c r="M5" s="7" t="inlineStr">
        <is>
          <t>Balance</t>
        </is>
      </c>
    </row>
    <row r="6">
      <c r="A6" s="8" t="inlineStr">
        <is>
          <t>2026-10</t>
        </is>
      </c>
      <c r="B6" s="8" t="inlineStr">
        <is>
          <t>W-44</t>
        </is>
      </c>
      <c r="C6" s="8" t="inlineStr">
        <is>
          <t>ALL</t>
        </is>
      </c>
      <c r="D6" s="8" t="inlineStr">
        <is>
          <t>RADIAL</t>
        </is>
      </c>
      <c r="E6" s="8" t="inlineStr">
        <is>
          <t>Okt</t>
        </is>
      </c>
      <c r="F6" s="8" t="inlineStr">
        <is>
          <t>ASCENDO</t>
        </is>
      </c>
      <c r="G6" s="8" t="inlineStr">
        <is>
          <t>R1-100020053518</t>
        </is>
      </c>
      <c r="H6" s="8" t="inlineStr">
        <is>
          <t>ASC 10.00R20 AR535 18</t>
        </is>
      </c>
      <c r="I6" s="8" t="inlineStr">
        <is>
          <t>++</t>
        </is>
      </c>
      <c r="J6" s="9" t="n">
        <v>439</v>
      </c>
      <c r="K6" s="9" t="n">
        <v>439</v>
      </c>
      <c r="L6" s="9" t="n">
        <v>315</v>
      </c>
      <c r="M6" s="9" t="n">
        <v>124</v>
      </c>
    </row>
    <row r="7">
      <c r="A7" s="8" t="inlineStr">
        <is>
          <t>2026-10</t>
        </is>
      </c>
      <c r="B7" s="8" t="inlineStr">
        <is>
          <t>W-44</t>
        </is>
      </c>
      <c r="C7" s="8" t="inlineStr">
        <is>
          <t>ALL</t>
        </is>
      </c>
      <c r="D7" s="8" t="inlineStr">
        <is>
          <t>RADIAL</t>
        </is>
      </c>
      <c r="E7" s="8" t="inlineStr">
        <is>
          <t>Okt</t>
        </is>
      </c>
      <c r="F7" s="8" t="inlineStr">
        <is>
          <t>ASCENDO</t>
        </is>
      </c>
      <c r="G7" s="8" t="inlineStr">
        <is>
          <t>R1-100020102HD18</t>
        </is>
      </c>
      <c r="H7" s="8" t="inlineStr">
        <is>
          <t>ASC 10.00R20 AR102HD 18</t>
        </is>
      </c>
      <c r="I7" s="8" t="inlineStr">
        <is>
          <t>++</t>
        </is>
      </c>
      <c r="J7" s="9" t="n">
        <v>350</v>
      </c>
      <c r="K7" s="9" t="n">
        <v>350</v>
      </c>
      <c r="L7" s="9" t="n">
        <v>300</v>
      </c>
      <c r="M7" s="9" t="n">
        <v>50</v>
      </c>
    </row>
    <row r="8">
      <c r="A8" s="8" t="inlineStr">
        <is>
          <t>2026-10</t>
        </is>
      </c>
      <c r="B8" s="8" t="inlineStr">
        <is>
          <t>W-44</t>
        </is>
      </c>
      <c r="C8" s="8" t="inlineStr">
        <is>
          <t>ALL</t>
        </is>
      </c>
      <c r="D8" s="8" t="inlineStr">
        <is>
          <t>RADIAL</t>
        </is>
      </c>
      <c r="E8" s="8" t="inlineStr">
        <is>
          <t>Okt</t>
        </is>
      </c>
      <c r="F8" s="8" t="inlineStr">
        <is>
          <t>TECHKING</t>
        </is>
      </c>
      <c r="G8" s="8" t="inlineStr">
        <is>
          <t>1200R24ETFNU20</t>
        </is>
      </c>
      <c r="H8" s="8" t="inlineStr">
        <is>
          <t>TK 12.00R24 ETFN U 20</t>
        </is>
      </c>
      <c r="I8" s="8" t="inlineStr"/>
      <c r="J8" s="9" t="n">
        <v>360</v>
      </c>
      <c r="K8" s="9" t="n">
        <v>360</v>
      </c>
      <c r="L8" s="9" t="n">
        <v>360</v>
      </c>
      <c r="M8" s="9" t="n">
        <v>0</v>
      </c>
    </row>
  </sheetData>
  <autoFilter ref="A5:M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8" customWidth="1" min="4" max="4"/>
    <col width="28" customWidth="1" min="5" max="5"/>
    <col width="8" customWidth="1" min="6" max="6"/>
    <col width="12" customWidth="1" min="7" max="7"/>
    <col width="16" customWidth="1" min="8" max="8"/>
    <col width="9" customWidth="1" min="9" max="9"/>
    <col width="10" customWidth="1" min="10" max="10"/>
    <col width="16" customWidth="1" min="11" max="11"/>
    <col width="26" customWidth="1" min="12" max="12"/>
    <col width="8" customWidth="1" min="13" max="13"/>
    <col width="11" customWidth="1" min="14" max="14"/>
    <col width="14" customWidth="1" min="15" max="15"/>
    <col width="11" customWidth="1" min="16" max="16"/>
    <col width="8" customWidth="1" min="17" max="17"/>
    <col width="16" customWidth="1" min="18" max="18"/>
    <col width="11" customWidth="1" min="19" max="19"/>
    <col width="9" customWidth="1" min="20" max="20"/>
    <col width="14" customWidth="1" min="21" max="21"/>
    <col width="8" customWidth="1" min="22" max="22"/>
    <col width="10" customWidth="1" min="23" max="23"/>
  </cols>
  <sheetData>
    <row r="1">
      <c r="A1" s="4" t="inlineStr">
        <is>
          <t>PT ASCENDO INTERNASIONAL · INTERNAL MANAGEMENT REPORT (ASM ERP)</t>
        </is>
      </c>
    </row>
    <row r="2">
      <c r="A2" s="5" t="inlineStr">
        <is>
          <t>SAL Data : Sales Order × Delivery Note line (ASM download)</t>
        </is>
      </c>
    </row>
    <row r="3">
      <c r="A3" s="6" t="inlineStr">
        <is>
          <t>요청자: Merry Maharani (Import &amp; Local Sales Dept.) · RR-20261027-003  ·  ASM Menu: Sales › Sales Order / Delivery Note  ·  Internal use only (필수문서 5종 아님)</t>
        </is>
      </c>
    </row>
    <row r="5" ht="30" customHeight="1">
      <c r="A5" s="7" t="inlineStr">
        <is>
          <t>SO No</t>
        </is>
      </c>
      <c r="B5" s="7" t="inlineStr">
        <is>
          <t>SO Date</t>
        </is>
      </c>
      <c r="C5" s="7" t="inlineStr">
        <is>
          <t>Target Delivery Month</t>
        </is>
      </c>
      <c r="D5" s="7" t="inlineStr">
        <is>
          <t>Warehouse</t>
        </is>
      </c>
      <c r="E5" s="7" t="inlineStr">
        <is>
          <t>Customer</t>
        </is>
      </c>
      <c r="F5" s="7" t="inlineStr">
        <is>
          <t>Customer Branch</t>
        </is>
      </c>
      <c r="G5" s="7" t="inlineStr">
        <is>
          <t>PIC</t>
        </is>
      </c>
      <c r="H5" s="7" t="inlineStr">
        <is>
          <t>Cust PO No</t>
        </is>
      </c>
      <c r="I5" s="7" t="inlineStr">
        <is>
          <t>Category</t>
        </is>
      </c>
      <c r="J5" s="7" t="inlineStr">
        <is>
          <t>Brand</t>
        </is>
      </c>
      <c r="K5" s="7" t="inlineStr">
        <is>
          <t>Product Code</t>
        </is>
      </c>
      <c r="L5" s="7" t="inlineStr">
        <is>
          <t>Description</t>
        </is>
      </c>
      <c r="M5" s="7" t="inlineStr">
        <is>
          <t>SO Qty</t>
        </is>
      </c>
      <c r="N5" s="7" t="inlineStr">
        <is>
          <t>Unit Price</t>
        </is>
      </c>
      <c r="O5" s="7" t="inlineStr">
        <is>
          <t>SO AMT</t>
        </is>
      </c>
      <c r="P5" s="7" t="inlineStr">
        <is>
          <t>Plan ETD</t>
        </is>
      </c>
      <c r="Q5" s="7" t="inlineStr">
        <is>
          <t>Plan Qty</t>
        </is>
      </c>
      <c r="R5" s="7" t="inlineStr">
        <is>
          <t>DN No</t>
        </is>
      </c>
      <c r="S5" s="7" t="inlineStr">
        <is>
          <t>DN Date</t>
        </is>
      </c>
      <c r="T5" s="7" t="inlineStr">
        <is>
          <t>Aktual Qty</t>
        </is>
      </c>
      <c r="U5" s="7" t="inlineStr">
        <is>
          <t>Aktual AMT</t>
        </is>
      </c>
      <c r="V5" s="7" t="inlineStr">
        <is>
          <t>Balance</t>
        </is>
      </c>
      <c r="W5" s="7" t="inlineStr">
        <is>
          <t>Status</t>
        </is>
      </c>
    </row>
    <row r="6">
      <c r="A6" s="8" t="inlineStr">
        <is>
          <t>OD-20261003-012</t>
        </is>
      </c>
      <c r="B6" s="8" t="inlineStr">
        <is>
          <t>2026-10-03</t>
        </is>
      </c>
      <c r="C6" s="8" t="inlineStr">
        <is>
          <t>2026-10</t>
        </is>
      </c>
      <c r="D6" s="8" t="inlineStr">
        <is>
          <t>KRW</t>
        </is>
      </c>
      <c r="E6" s="8" t="inlineStr">
        <is>
          <t>PT. SUMBER SAKTI PRIMA MANDIRI</t>
        </is>
      </c>
      <c r="F6" s="8" t="inlineStr">
        <is>
          <t>JKT</t>
        </is>
      </c>
      <c r="G6" s="8" t="inlineStr">
        <is>
          <t>Arif Wibowo</t>
        </is>
      </c>
      <c r="H6" s="8" t="inlineStr">
        <is>
          <t>SSPM/13/08/26-2</t>
        </is>
      </c>
      <c r="I6" s="8" t="inlineStr">
        <is>
          <t>RADIAL</t>
        </is>
      </c>
      <c r="J6" s="8" t="inlineStr">
        <is>
          <t>ASCENDO</t>
        </is>
      </c>
      <c r="K6" s="8" t="inlineStr">
        <is>
          <t>R1-100020053518</t>
        </is>
      </c>
      <c r="L6" s="8" t="inlineStr">
        <is>
          <t>ASC 10.00R20 AR535 18++</t>
        </is>
      </c>
      <c r="M6" s="9" t="n">
        <v>300</v>
      </c>
      <c r="N6" s="9" t="n">
        <v>3201352</v>
      </c>
      <c r="O6" s="9">
        <f>M6*N6</f>
        <v/>
      </c>
      <c r="P6" s="8" t="inlineStr">
        <is>
          <t>2026-10-15</t>
        </is>
      </c>
      <c r="Q6" s="9" t="n">
        <v>300</v>
      </c>
      <c r="R6" s="8" t="inlineStr">
        <is>
          <t>DN-20261015-001</t>
        </is>
      </c>
      <c r="S6" s="8" t="inlineStr">
        <is>
          <t>2026-10-15</t>
        </is>
      </c>
      <c r="T6" s="9" t="n">
        <v>200</v>
      </c>
      <c r="U6" s="9">
        <f>T6*N6</f>
        <v/>
      </c>
      <c r="V6" s="9">
        <f>M6-T6</f>
        <v/>
      </c>
      <c r="W6" s="8" t="inlineStr">
        <is>
          <t>CONFIRMED</t>
        </is>
      </c>
    </row>
  </sheetData>
  <autoFilter ref="A5:W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2026-10-28T03:34:20Z</dcterms:created>
  <dcterms:modified xmlns:dcterms="http://purl.org/dc/terms/" xmlns:xsi="http://www.w3.org/2001/XMLSchema-instance" xsi:type="dcterms:W3CDTF">2026-10-28T03:34:20Z</dcterms:modified>
</cp:coreProperties>
</file>