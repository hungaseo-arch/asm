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-1 PUR01_Summary" sheetId="2" state="visible" r:id="rId2"/>
    <sheet xmlns:r="http://schemas.openxmlformats.org/officeDocument/2006/relationships" name="1-2 PUR01_Data" sheetId="3" state="visible" r:id="rId3"/>
    <sheet xmlns:r="http://schemas.openxmlformats.org/officeDocument/2006/relationships" name="2-1 PUR02_Summary" sheetId="4" state="visible" r:id="rId4"/>
    <sheet xmlns:r="http://schemas.openxmlformats.org/officeDocument/2006/relationships" name="2-2 PUR02_Data" sheetId="5" state="visible" r:id="rId5"/>
    <sheet xmlns:r="http://schemas.openxmlformats.org/officeDocument/2006/relationships" name="3-1 PUR03_Summary" sheetId="6" state="visible" r:id="rId6"/>
    <sheet xmlns:r="http://schemas.openxmlformats.org/officeDocument/2006/relationships" name="3-2 PUR03_Data" sheetId="7" state="visible" r:id="rId7"/>
  </sheets>
  <definedNames>
    <definedName name="_xlnm._FilterDatabase" localSheetId="1" hidden="1">'1-1 PUR01_Summary'!$A$5:$T$12</definedName>
    <definedName name="_xlnm._FilterDatabase" localSheetId="2" hidden="1">'1-2 PUR01_Data'!$A$5:$AE$8</definedName>
    <definedName name="_xlnm._FilterDatabase" localSheetId="3" hidden="1">'2-1 PUR02_Summary'!$A$5:$J$15</definedName>
    <definedName name="_xlnm._FilterDatabase" localSheetId="4" hidden="1">'2-2 PUR02_Data'!$A$5:$Q$8</definedName>
    <definedName name="_xlnm._FilterDatabase" localSheetId="5" hidden="1">'3-1 PUR03_Summary'!$A$5:$S$15</definedName>
    <definedName name="_xlnm._FilterDatabase" localSheetId="6" hidden="1">'3-2 PUR03_Data'!$A$5:$AE$7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062C6"/>
      <sz val="12"/>
    </font>
    <font>
      <color rgb="00333333"/>
      <sz val="10"/>
    </font>
    <font>
      <b val="1"/>
      <color rgb="000062C6"/>
      <sz val="10"/>
    </font>
    <font>
      <b val="1"/>
      <color rgb="000062C6"/>
      <sz val="11"/>
    </font>
    <font>
      <b val="1"/>
      <color rgb="000062C6"/>
      <sz val="14"/>
    </font>
    <font>
      <color rgb="00666666"/>
      <sz val="9"/>
    </font>
    <font>
      <b val="1"/>
      <sz val="9"/>
    </font>
    <font>
      <sz val="9"/>
    </font>
    <font>
      <b val="1"/>
      <color rgb="000062C6"/>
    </font>
  </fonts>
  <fills count="5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F0F6FC"/>
      </patternFill>
    </fill>
    <fill>
      <patternFill patternType="solid">
        <fgColor rgb="00E6EFF9"/>
      </patternFill>
    </fill>
  </fills>
  <borders count="4">
    <border>
      <left/>
      <right/>
      <top/>
      <bottom/>
      <diagonal/>
    </border>
    <border>
      <top style="thin">
        <color rgb="00D6D6D6"/>
      </top>
      <bottom style="medium">
        <color rgb="000062C6"/>
      </bottom>
    </border>
    <border>
      <bottom style="thin">
        <color rgb="00D6D6D6"/>
      </bottom>
    </border>
    <border>
      <top style="medium">
        <color rgb="000062C6"/>
      </top>
      <bottom style="medium">
        <color rgb="000062C6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8" fillId="0" borderId="2" pivotButton="0" quotePrefix="0" xfId="0"/>
    <xf numFmtId="3" fontId="8" fillId="0" borderId="2" applyAlignment="1" pivotButton="0" quotePrefix="0" xfId="0">
      <alignment horizontal="right"/>
    </xf>
    <xf numFmtId="0" fontId="9" fillId="0" borderId="0" pivotButton="0" quotePrefix="0" xfId="0"/>
    <xf numFmtId="0" fontId="8" fillId="0" borderId="0" pivotButton="0" quotePrefix="0" xfId="0"/>
    <xf numFmtId="4" fontId="8" fillId="0" borderId="2" applyAlignment="1" pivotButton="0" quotePrefix="0" xfId="0">
      <alignment horizontal="right"/>
    </xf>
    <xf numFmtId="0" fontId="7" fillId="4" borderId="3" pivotButton="0" quotePrefix="0" xfId="0"/>
    <xf numFmtId="3" fontId="7" fillId="4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ASM 구매 보고서 엑셀 다운로드 양식 (Lestari 요청 3종)</t>
        </is>
      </c>
    </row>
    <row r="2">
      <c r="A2" s="2" t="inlineStr">
        <is>
          <t>요청자: Lestari · Purchasing Dept. (HQ) · RR-20261027-002 · 2026-10-27</t>
        </is>
      </c>
    </row>
    <row r="3">
      <c r="A3" s="2" t="inlineStr">
        <is>
          <t>용도: ASM ERP Reports › PURCHASE 신규 보고서 3종의 엑셀 다운로드 출력 양식(안). 내부 관리용(필수문서 5종 아님).</t>
        </is>
      </c>
    </row>
    <row r="4">
      <c r="A4" s="2" t="inlineStr"/>
    </row>
    <row r="5">
      <c r="A5" s="3" t="inlineStr">
        <is>
          <t>시트 구성</t>
        </is>
      </c>
    </row>
    <row r="6">
      <c r="A6" s="2" t="inlineStr">
        <is>
          <t>1-1 PUR01_Summary : 공급처별 구매 현황 집계 (Supplier × Year/Month)</t>
        </is>
      </c>
    </row>
    <row r="7">
      <c r="A7" s="2" t="inlineStr">
        <is>
          <t>1-2 PUR01_Data    : PO 라인 데이터 (ASM Vendor PO · PPC 다운로드 컬럼)</t>
        </is>
      </c>
    </row>
    <row r="8">
      <c r="A8" s="2" t="inlineStr">
        <is>
          <t>2-1 PUR02_Summary : 월별 입고 집계 (Supplier › Brand › Type)</t>
        </is>
      </c>
    </row>
    <row r="9">
      <c r="A9" s="2" t="inlineStr">
        <is>
          <t>2-2 PUR02_Data    : 입고(GR) 라인 데이터 (ASM Receipts WH 다운로드 컬럼)</t>
        </is>
      </c>
    </row>
    <row r="10">
      <c r="A10" s="2" t="inlineStr">
        <is>
          <t>3-1 PUR03_Summary : 월별 지급계획 (Due Date 기준)</t>
        </is>
      </c>
    </row>
    <row r="11">
      <c r="A11" s="2" t="inlineStr">
        <is>
          <t>3-2 PUR03_Data    : 수입원가 산출 라인 (Cost build-up: CIF · BM · PPN · PPh22 · PIB · PLB)</t>
        </is>
      </c>
    </row>
    <row r="12">
      <c r="A12" s="2" t="inlineStr"/>
    </row>
    <row r="13">
      <c r="A13" s="3" t="inlineStr">
        <is>
          <t>규칙</t>
        </is>
      </c>
    </row>
    <row r="14">
      <c r="A14" s="2" t="inlineStr">
        <is>
          <t>- 통화: Import = USD(FOB/Invoice), Local = IDR(PPN 별도). USD→IDR 환산은 Kurs(월 기준환율) 열로만 수행</t>
        </is>
      </c>
    </row>
    <row r="15">
      <c r="A15" s="2" t="inlineStr">
        <is>
          <t>- 날짜: YYYY-MM-DD, 월 집계 기준은 시트별 명시(PO Date / Delivery W/H / Due Date)</t>
        </is>
      </c>
    </row>
    <row r="16">
      <c r="A16" s="2" t="inlineStr">
        <is>
          <t>- 샘플 수치 = 원본 엑셀(1·2·3번 파일) 집계값. Data 시트 행은 예시 2~3행</t>
        </is>
      </c>
    </row>
    <row r="17">
      <c r="A17" s="2" t="inlineStr">
        <is>
          <t>- 수식 오류(#REF!·#VALUE!) 금지: ASM 자동 산출값만 기록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9" customWidth="1" min="21" max="21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PUR-01 Purchase Summary by Supplier (Local &amp; Import)</t>
        </is>
      </c>
    </row>
    <row r="3">
      <c r="A3" s="6" t="inlineStr">
        <is>
          <t>요청자: Lestari (Purchasing Dept.) · RR-20261027-002  ·  ASM Menu: Reports › PURCHASE › Purchase Summary by Supplier  ·  Internal use only (필수문서 5종 아님)</t>
        </is>
      </c>
    </row>
    <row r="5" ht="30" customHeight="1">
      <c r="A5" s="7" t="inlineStr">
        <is>
          <t>Supplier</t>
        </is>
      </c>
      <c r="B5" s="7" t="inlineStr">
        <is>
          <t>Type</t>
        </is>
      </c>
      <c r="C5" s="7" t="inlineStr">
        <is>
          <t>License</t>
        </is>
      </c>
      <c r="D5" s="7" t="inlineStr">
        <is>
          <t>Brand / Product</t>
        </is>
      </c>
      <c r="E5" s="7" t="inlineStr">
        <is>
          <t>2023 PO Qty</t>
        </is>
      </c>
      <c r="F5" s="7" t="inlineStr">
        <is>
          <t>2023 Cntr</t>
        </is>
      </c>
      <c r="G5" s="7" t="inlineStr">
        <is>
          <t>2023 Amount</t>
        </is>
      </c>
      <c r="H5" s="7" t="inlineStr">
        <is>
          <t>2024 PO Qty</t>
        </is>
      </c>
      <c r="I5" s="7" t="inlineStr">
        <is>
          <t>2024 Cntr</t>
        </is>
      </c>
      <c r="J5" s="7" t="inlineStr">
        <is>
          <t>2024 Amount</t>
        </is>
      </c>
      <c r="K5" s="7" t="inlineStr">
        <is>
          <t>2025 PO Qty</t>
        </is>
      </c>
      <c r="L5" s="7" t="inlineStr">
        <is>
          <t>2025 Cntr</t>
        </is>
      </c>
      <c r="M5" s="7" t="inlineStr">
        <is>
          <t>2025 Amount</t>
        </is>
      </c>
      <c r="N5" s="7" t="inlineStr">
        <is>
          <t>2026 PO Qty</t>
        </is>
      </c>
      <c r="O5" s="7" t="inlineStr">
        <is>
          <t>2026 Cntr</t>
        </is>
      </c>
      <c r="P5" s="7" t="inlineStr">
        <is>
          <t>2026 Amount</t>
        </is>
      </c>
      <c r="Q5" s="7" t="inlineStr">
        <is>
          <t>Total PO Qty</t>
        </is>
      </c>
      <c r="R5" s="7" t="inlineStr">
        <is>
          <t>Total Cntr</t>
        </is>
      </c>
      <c r="S5" s="7" t="inlineStr">
        <is>
          <t>Total Amount</t>
        </is>
      </c>
      <c r="T5" s="7" t="inlineStr">
        <is>
          <t>Currency</t>
        </is>
      </c>
    </row>
    <row r="6">
      <c r="A6" s="8" t="inlineStr">
        <is>
          <t>HUBEI (Aulice)</t>
        </is>
      </c>
      <c r="B6" s="8" t="inlineStr">
        <is>
          <t>Import</t>
        </is>
      </c>
      <c r="C6" s="8" t="inlineStr">
        <is>
          <t>APIU / APIP</t>
        </is>
      </c>
      <c r="D6" s="8" t="inlineStr">
        <is>
          <t>ASCENDO Radial·Bias</t>
        </is>
      </c>
      <c r="E6" s="9" t="n">
        <v>0</v>
      </c>
      <c r="F6" s="9" t="n">
        <v>0</v>
      </c>
      <c r="G6" s="9" t="n">
        <v>0</v>
      </c>
      <c r="H6" s="9" t="n">
        <v>33020</v>
      </c>
      <c r="I6" s="9" t="n">
        <v>119</v>
      </c>
      <c r="J6" s="9" t="n">
        <v>4459350</v>
      </c>
      <c r="K6" s="9" t="n">
        <v>23345</v>
      </c>
      <c r="L6" s="9" t="n">
        <v>102</v>
      </c>
      <c r="M6" s="9" t="n">
        <v>3405214</v>
      </c>
      <c r="N6" s="9" t="n">
        <v>26176</v>
      </c>
      <c r="O6" s="9" t="n">
        <v>116</v>
      </c>
      <c r="P6" s="9" t="n">
        <v>4009206</v>
      </c>
      <c r="Q6" s="9" t="n">
        <v>82541</v>
      </c>
      <c r="R6" s="9" t="n">
        <v>337</v>
      </c>
      <c r="S6" s="9" t="n">
        <v>11873769</v>
      </c>
      <c r="T6" s="8" t="inlineStr">
        <is>
          <t>USD</t>
        </is>
      </c>
    </row>
    <row r="7">
      <c r="A7" s="8" t="inlineStr">
        <is>
          <t>TECHKING (Import)</t>
        </is>
      </c>
      <c r="B7" s="8" t="inlineStr">
        <is>
          <t>Import</t>
        </is>
      </c>
      <c r="C7" s="8" t="inlineStr">
        <is>
          <t>APIU</t>
        </is>
      </c>
      <c r="D7" s="8" t="inlineStr">
        <is>
          <t>TECHKING TBR/LTR·OTR</t>
        </is>
      </c>
      <c r="E7" s="9" t="n">
        <v>1240</v>
      </c>
      <c r="F7" s="9" t="n">
        <v>2</v>
      </c>
      <c r="G7" s="9" t="n">
        <v>88350</v>
      </c>
      <c r="H7" s="9" t="n">
        <v>21651</v>
      </c>
      <c r="I7" s="9" t="n">
        <v>79</v>
      </c>
      <c r="J7" s="9" t="n">
        <v>3507233</v>
      </c>
      <c r="K7" s="9" t="n">
        <v>20812</v>
      </c>
      <c r="L7" s="9" t="n">
        <v>73</v>
      </c>
      <c r="M7" s="9" t="n">
        <v>3096444</v>
      </c>
      <c r="N7" s="9" t="n">
        <v>8370</v>
      </c>
      <c r="O7" s="9" t="n">
        <v>43</v>
      </c>
      <c r="P7" s="9" t="n">
        <v>1742810</v>
      </c>
      <c r="Q7" s="9" t="n">
        <v>52073</v>
      </c>
      <c r="R7" s="9" t="n">
        <v>197</v>
      </c>
      <c r="S7" s="9" t="n">
        <v>8434838</v>
      </c>
      <c r="T7" s="8" t="inlineStr">
        <is>
          <t>USD</t>
        </is>
      </c>
    </row>
    <row r="8">
      <c r="A8" s="8" t="inlineStr">
        <is>
          <t>YUELONG</t>
        </is>
      </c>
      <c r="B8" s="8" t="inlineStr">
        <is>
          <t>Import</t>
        </is>
      </c>
      <c r="C8" s="8" t="inlineStr">
        <is>
          <t>APIU / APIP</t>
        </is>
      </c>
      <c r="D8" s="8" t="inlineStr">
        <is>
          <t>ASCENDO AR896·AR698</t>
        </is>
      </c>
      <c r="E8" s="9" t="n">
        <v>0</v>
      </c>
      <c r="F8" s="9" t="n">
        <v>0</v>
      </c>
      <c r="G8" s="9" t="n">
        <v>0</v>
      </c>
      <c r="H8" s="9" t="n">
        <v>716</v>
      </c>
      <c r="I8" s="9" t="n">
        <v>2</v>
      </c>
      <c r="J8" s="9" t="n">
        <v>70447</v>
      </c>
      <c r="K8" s="9" t="n">
        <v>3866</v>
      </c>
      <c r="L8" s="9" t="n">
        <v>15</v>
      </c>
      <c r="M8" s="9" t="n">
        <v>408062</v>
      </c>
      <c r="N8" s="9" t="n">
        <v>5127</v>
      </c>
      <c r="O8" s="9" t="n">
        <v>17</v>
      </c>
      <c r="P8" s="9" t="n">
        <v>573899</v>
      </c>
      <c r="Q8" s="9" t="n">
        <v>9709</v>
      </c>
      <c r="R8" s="9" t="n">
        <v>34</v>
      </c>
      <c r="S8" s="9" t="n">
        <v>1052408</v>
      </c>
      <c r="T8" s="8" t="inlineStr">
        <is>
          <t>USD</t>
        </is>
      </c>
    </row>
    <row r="9">
      <c r="A9" s="8" t="inlineStr">
        <is>
          <t>RUNGOLD (Dongying)</t>
        </is>
      </c>
      <c r="B9" s="8" t="inlineStr">
        <is>
          <t>Import</t>
        </is>
      </c>
      <c r="C9" s="8" t="inlineStr">
        <is>
          <t>APIU / APIP</t>
        </is>
      </c>
      <c r="D9" s="8" t="inlineStr">
        <is>
          <t>ASCENDO AGR·OTR</t>
        </is>
      </c>
      <c r="E9" s="9" t="n">
        <v>0</v>
      </c>
      <c r="F9" s="9" t="n">
        <v>0</v>
      </c>
      <c r="G9" s="9" t="n">
        <v>0</v>
      </c>
      <c r="H9" s="9" t="n">
        <v>1314</v>
      </c>
      <c r="I9" s="9" t="n">
        <v>7</v>
      </c>
      <c r="J9" s="9" t="n">
        <v>118617</v>
      </c>
      <c r="K9" s="9" t="n">
        <v>3505</v>
      </c>
      <c r="L9" s="9" t="n">
        <v>20</v>
      </c>
      <c r="M9" s="9" t="n">
        <v>364742</v>
      </c>
      <c r="N9" s="9" t="n">
        <v>3877</v>
      </c>
      <c r="O9" s="9" t="n">
        <v>24</v>
      </c>
      <c r="P9" s="9" t="n">
        <v>556978</v>
      </c>
      <c r="Q9" s="9" t="n">
        <v>8696</v>
      </c>
      <c r="R9" s="9" t="n">
        <v>51</v>
      </c>
      <c r="S9" s="9" t="n">
        <v>1040337</v>
      </c>
      <c r="T9" s="8" t="inlineStr">
        <is>
          <t>USD</t>
        </is>
      </c>
    </row>
    <row r="10">
      <c r="A10" s="8" t="inlineStr">
        <is>
          <t>HUAJUN FLAP</t>
        </is>
      </c>
      <c r="B10" s="8" t="inlineStr">
        <is>
          <t>Import</t>
        </is>
      </c>
      <c r="C10" s="8" t="inlineStr">
        <is>
          <t>APIU</t>
        </is>
      </c>
      <c r="D10" s="8" t="inlineStr">
        <is>
          <t>ASCENDO·TRUCKORR Flap</t>
        </is>
      </c>
      <c r="E10" s="9" t="n">
        <v>160390</v>
      </c>
      <c r="F10" s="9" t="n">
        <v>13</v>
      </c>
      <c r="G10" s="9" t="n">
        <v>415942</v>
      </c>
      <c r="H10" s="9" t="n">
        <v>206687</v>
      </c>
      <c r="I10" s="9" t="n">
        <v>20</v>
      </c>
      <c r="J10" s="9" t="n">
        <v>563464</v>
      </c>
      <c r="K10" s="9" t="n">
        <v>250180</v>
      </c>
      <c r="L10" s="9" t="n">
        <v>26</v>
      </c>
      <c r="M10" s="9" t="n">
        <v>699313</v>
      </c>
      <c r="N10" s="9" t="n">
        <v>247482</v>
      </c>
      <c r="O10" s="9" t="n">
        <v>24</v>
      </c>
      <c r="P10" s="9" t="n">
        <v>689417</v>
      </c>
      <c r="Q10" s="9" t="n">
        <v>864739</v>
      </c>
      <c r="R10" s="9" t="n">
        <v>83</v>
      </c>
      <c r="S10" s="9" t="n">
        <v>2368136</v>
      </c>
      <c r="T10" s="8" t="inlineStr">
        <is>
          <t>USD</t>
        </is>
      </c>
    </row>
    <row r="11">
      <c r="A11" s="8" t="inlineStr">
        <is>
          <t>Import Subtotal (USD)</t>
        </is>
      </c>
      <c r="B11" s="8" t="inlineStr"/>
      <c r="C11" s="8" t="inlineStr"/>
      <c r="D11" s="8" t="inlineStr"/>
      <c r="E11" s="9" t="n">
        <v>161630</v>
      </c>
      <c r="F11" s="9" t="n">
        <v>15</v>
      </c>
      <c r="G11" s="9" t="n">
        <v>504292</v>
      </c>
      <c r="H11" s="9" t="n">
        <v>263388</v>
      </c>
      <c r="I11" s="9" t="n">
        <v>227</v>
      </c>
      <c r="J11" s="9" t="n">
        <v>8719111</v>
      </c>
      <c r="K11" s="9" t="n">
        <v>301708</v>
      </c>
      <c r="L11" s="9" t="n">
        <v>236</v>
      </c>
      <c r="M11" s="9" t="n">
        <v>7973775</v>
      </c>
      <c r="N11" s="9" t="n">
        <v>291032</v>
      </c>
      <c r="O11" s="9" t="n">
        <v>224</v>
      </c>
      <c r="P11" s="9" t="n">
        <v>7572310</v>
      </c>
      <c r="Q11" s="9" t="n">
        <v>1017758</v>
      </c>
      <c r="R11" s="9" t="n">
        <v>702</v>
      </c>
      <c r="S11" s="9" t="n">
        <v>24769488</v>
      </c>
      <c r="T11" s="8" t="inlineStr">
        <is>
          <t>USD</t>
        </is>
      </c>
    </row>
    <row r="12">
      <c r="A12" s="8" t="inlineStr">
        <is>
          <t>MTI (PT. Matahari Tire Indonesia)</t>
        </is>
      </c>
      <c r="B12" s="8" t="inlineStr">
        <is>
          <t>Local</t>
        </is>
      </c>
      <c r="C12" s="8" t="inlineStr">
        <is>
          <t>Local</t>
        </is>
      </c>
      <c r="D12" s="8" t="inlineStr">
        <is>
          <t>TECHKING Local</t>
        </is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1538</v>
      </c>
      <c r="L12" s="9" t="n">
        <v>2</v>
      </c>
      <c r="M12" s="9" t="n">
        <v>2817908590</v>
      </c>
      <c r="N12" s="9" t="n">
        <v>4073</v>
      </c>
      <c r="O12" s="9" t="n">
        <v>10</v>
      </c>
      <c r="P12" s="9" t="n">
        <v>7549449101</v>
      </c>
      <c r="Q12" s="9" t="n">
        <v>5611</v>
      </c>
      <c r="R12" s="9" t="n">
        <v>12</v>
      </c>
      <c r="S12" s="9" t="n">
        <v>10367357691</v>
      </c>
      <c r="T12" s="8" t="inlineStr">
        <is>
          <t>IDR</t>
        </is>
      </c>
    </row>
    <row r="15">
      <c r="A15" s="10" t="inlineStr">
        <is>
          <t>NOTE</t>
        </is>
      </c>
    </row>
    <row r="16">
      <c r="A16" s="11" t="inlineStr">
        <is>
          <t>1. Import(USD)와 Local(IDR)은 합산 금지 → 소계 분리</t>
        </is>
      </c>
    </row>
    <row r="17">
      <c r="A17" s="11" t="inlineStr">
        <is>
          <t>2. 월별 보기: ASM Period 필터(월) 선택 시 Year 열이 Month 열로 전환</t>
        </is>
      </c>
    </row>
    <row r="18">
      <c r="A18" s="11" t="inlineStr">
        <is>
          <t>3. Amount = Import FOB USD(Total Amt) / Local PO Amount IDR(PPN 별도)</t>
        </is>
      </c>
    </row>
  </sheetData>
  <autoFilter ref="A5:T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10" customWidth="1" min="4" max="4"/>
    <col width="8" customWidth="1" min="5" max="5"/>
    <col width="10" customWidth="1" min="6" max="6"/>
    <col width="20" customWidth="1" min="7" max="7"/>
    <col width="18" customWidth="1" min="8" max="8"/>
    <col width="11" customWidth="1" min="9" max="9"/>
    <col width="9" customWidth="1" min="10" max="10"/>
    <col width="16" customWidth="1" min="11" max="11"/>
    <col width="10" customWidth="1" min="12" max="12"/>
    <col width="10" customWidth="1" min="13" max="13"/>
    <col width="18" customWidth="1" min="14" max="14"/>
    <col width="26" customWidth="1" min="15" max="15"/>
    <col width="7" customWidth="1" min="16" max="16"/>
    <col width="8" customWidth="1" min="17" max="17"/>
    <col width="10" customWidth="1" min="18" max="18"/>
    <col width="10" customWidth="1" min="19" max="19"/>
    <col width="8" customWidth="1" min="20" max="20"/>
    <col width="13" customWidth="1" min="21" max="21"/>
    <col width="12" customWidth="1" min="22" max="22"/>
    <col width="14" customWidth="1" min="23" max="23"/>
    <col width="8" customWidth="1" min="24" max="24"/>
    <col width="6" customWidth="1" min="25" max="25"/>
    <col width="14" customWidth="1" min="26" max="26"/>
    <col width="14" customWidth="1" min="27" max="27"/>
    <col width="11" customWidth="1" min="28" max="28"/>
    <col width="11" customWidth="1" min="29" max="29"/>
    <col width="11" customWidth="1" min="30" max="30"/>
    <col width="8" customWidth="1" min="31" max="31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PUR-01 Data : Vendor PO line (ASM download)</t>
        </is>
      </c>
    </row>
    <row r="3">
      <c r="A3" s="6" t="inlineStr">
        <is>
          <t>요청자: Lestari (Purchasing Dept.) · RR-20261027-002  ·  ASM Menu: Purchase › Vendor PO / PPC  ·  Internal use only (필수문서 5종 아님)</t>
        </is>
      </c>
    </row>
    <row r="5" ht="30" customHeight="1">
      <c r="A5" s="7" t="inlineStr">
        <is>
          <t>Year</t>
        </is>
      </c>
      <c r="B5" s="7" t="inlineStr">
        <is>
          <t>Month</t>
        </is>
      </c>
      <c r="C5" s="7" t="inlineStr">
        <is>
          <t>Supplier</t>
        </is>
      </c>
      <c r="D5" s="7" t="inlineStr">
        <is>
          <t>Purchase Type</t>
        </is>
      </c>
      <c r="E5" s="7" t="inlineStr">
        <is>
          <t>License</t>
        </is>
      </c>
      <c r="F5" s="7" t="inlineStr">
        <is>
          <t>Brand</t>
        </is>
      </c>
      <c r="G5" s="7" t="inlineStr">
        <is>
          <t>PO No (Factory)</t>
        </is>
      </c>
      <c r="H5" s="7" t="inlineStr">
        <is>
          <t>PO No (ASM/Hirundo)</t>
        </is>
      </c>
      <c r="I5" s="7" t="inlineStr">
        <is>
          <t>PO Date</t>
        </is>
      </c>
      <c r="J5" s="7" t="inlineStr">
        <is>
          <t>Approval</t>
        </is>
      </c>
      <c r="K5" s="7" t="inlineStr">
        <is>
          <t>Invoice / CI No</t>
        </is>
      </c>
      <c r="L5" s="7" t="inlineStr">
        <is>
          <t>Size</t>
        </is>
      </c>
      <c r="M5" s="7" t="inlineStr">
        <is>
          <t>Pattern</t>
        </is>
      </c>
      <c r="N5" s="7" t="inlineStr">
        <is>
          <t>Article</t>
        </is>
      </c>
      <c r="O5" s="7" t="inlineStr">
        <is>
          <t>Description</t>
        </is>
      </c>
      <c r="P5" s="7" t="inlineStr">
        <is>
          <t>Type 2</t>
        </is>
      </c>
      <c r="Q5" s="7" t="inlineStr">
        <is>
          <t>PO Qty</t>
        </is>
      </c>
      <c r="R5" s="7" t="inlineStr">
        <is>
          <t>PPC Confirm</t>
        </is>
      </c>
      <c r="S5" s="7" t="inlineStr">
        <is>
          <t>Unit Price</t>
        </is>
      </c>
      <c r="T5" s="7" t="inlineStr">
        <is>
          <t>Currency</t>
        </is>
      </c>
      <c r="U5" s="7" t="inlineStr">
        <is>
          <t>Amount</t>
        </is>
      </c>
      <c r="V5" s="7" t="inlineStr">
        <is>
          <t>Amount USD</t>
        </is>
      </c>
      <c r="W5" s="7" t="inlineStr">
        <is>
          <t>Amount IDR</t>
        </is>
      </c>
      <c r="X5" s="7" t="inlineStr">
        <is>
          <t>Kurs</t>
        </is>
      </c>
      <c r="Y5" s="7" t="inlineStr">
        <is>
          <t>Cntr</t>
        </is>
      </c>
      <c r="Z5" s="7" t="inlineStr">
        <is>
          <t>B/L No</t>
        </is>
      </c>
      <c r="AA5" s="7" t="inlineStr">
        <is>
          <t>Container No</t>
        </is>
      </c>
      <c r="AB5" s="7" t="inlineStr">
        <is>
          <t>ETD</t>
        </is>
      </c>
      <c r="AC5" s="7" t="inlineStr">
        <is>
          <t>ETA</t>
        </is>
      </c>
      <c r="AD5" s="7" t="inlineStr">
        <is>
          <t>Delivery W/H</t>
        </is>
      </c>
      <c r="AE5" s="7" t="inlineStr">
        <is>
          <t>Warehouse</t>
        </is>
      </c>
    </row>
    <row r="6">
      <c r="A6" s="8" t="n">
        <v>2026</v>
      </c>
      <c r="B6" s="8" t="n">
        <v>1</v>
      </c>
      <c r="C6" s="8" t="inlineStr">
        <is>
          <t>HUBEI (Aulice)</t>
        </is>
      </c>
      <c r="D6" s="8" t="inlineStr">
        <is>
          <t>Import</t>
        </is>
      </c>
      <c r="E6" s="8" t="inlineStr">
        <is>
          <t>APIP</t>
        </is>
      </c>
      <c r="F6" s="8" t="inlineStr">
        <is>
          <t>ASCENDO</t>
        </is>
      </c>
      <c r="G6" s="8" t="inlineStr">
        <is>
          <t>AULICE20260109H-1</t>
        </is>
      </c>
      <c r="H6" s="8" t="inlineStr">
        <is>
          <t>ASCHTU-20260109-1</t>
        </is>
      </c>
      <c r="I6" s="8" t="inlineStr">
        <is>
          <t>2026-01-09</t>
        </is>
      </c>
      <c r="J6" s="8" t="inlineStr"/>
      <c r="K6" s="8" t="inlineStr">
        <is>
          <t>R1-100020102HD18</t>
        </is>
      </c>
      <c r="L6" s="8" t="inlineStr">
        <is>
          <t>10.00R20</t>
        </is>
      </c>
      <c r="M6" s="8" t="inlineStr">
        <is>
          <t>AR102HD</t>
        </is>
      </c>
      <c r="N6" s="8" t="inlineStr">
        <is>
          <t>R1-100020102HD18</t>
        </is>
      </c>
      <c r="O6" s="8" t="inlineStr">
        <is>
          <t>ASC 10.00R20 AR102HD 18</t>
        </is>
      </c>
      <c r="P6" s="8" t="inlineStr">
        <is>
          <t>TBR</t>
        </is>
      </c>
      <c r="Q6" s="9" t="n">
        <v>528</v>
      </c>
      <c r="R6" s="9" t="n">
        <v>528</v>
      </c>
      <c r="S6" s="12" t="n">
        <v>134.2</v>
      </c>
      <c r="T6" s="8" t="inlineStr">
        <is>
          <t>USD</t>
        </is>
      </c>
      <c r="U6" s="12" t="n">
        <v>70857.60000000001</v>
      </c>
      <c r="V6" s="12" t="n">
        <v>70857.60000000001</v>
      </c>
      <c r="W6" s="9" t="n"/>
      <c r="X6" s="9" t="n"/>
      <c r="Y6" s="9" t="n">
        <v>4</v>
      </c>
      <c r="Z6" s="8" t="inlineStr"/>
      <c r="AA6" s="8" t="inlineStr"/>
      <c r="AB6" s="8" t="inlineStr">
        <is>
          <t>2026-02-02</t>
        </is>
      </c>
      <c r="AC6" s="8" t="inlineStr">
        <is>
          <t>2026-02-14</t>
        </is>
      </c>
      <c r="AD6" s="8" t="inlineStr">
        <is>
          <t>2026-02-21</t>
        </is>
      </c>
      <c r="AE6" s="8" t="inlineStr">
        <is>
          <t>KRW</t>
        </is>
      </c>
    </row>
    <row r="7">
      <c r="A7" s="8" t="n">
        <v>2026</v>
      </c>
      <c r="B7" s="8" t="n">
        <v>5</v>
      </c>
      <c r="C7" s="8" t="inlineStr">
        <is>
          <t>TECHKING (Import)</t>
        </is>
      </c>
      <c r="D7" s="8" t="inlineStr">
        <is>
          <t>Import</t>
        </is>
      </c>
      <c r="E7" s="8" t="inlineStr">
        <is>
          <t>APIU</t>
        </is>
      </c>
      <c r="F7" s="8" t="inlineStr">
        <is>
          <t>TECHKING</t>
        </is>
      </c>
      <c r="G7" s="8" t="inlineStr"/>
      <c r="H7" s="8" t="inlineStr">
        <is>
          <t>26TKPI05230A</t>
        </is>
      </c>
      <c r="I7" s="8" t="inlineStr">
        <is>
          <t>2026-05-01</t>
        </is>
      </c>
      <c r="J7" s="8" t="inlineStr"/>
      <c r="K7" s="8" t="inlineStr">
        <is>
          <t>MEDUXU064788</t>
        </is>
      </c>
      <c r="L7" s="8" t="inlineStr">
        <is>
          <t>12.00R20</t>
        </is>
      </c>
      <c r="M7" s="8" t="inlineStr">
        <is>
          <t>ETFN U</t>
        </is>
      </c>
      <c r="N7" s="8" t="inlineStr">
        <is>
          <t>1200R20ETFNU20</t>
        </is>
      </c>
      <c r="O7" s="8" t="inlineStr">
        <is>
          <t>TK 12.00R20 ETFN U 20</t>
        </is>
      </c>
      <c r="P7" s="8" t="inlineStr">
        <is>
          <t>TBR</t>
        </is>
      </c>
      <c r="Q7" s="9" t="n">
        <v>662</v>
      </c>
      <c r="R7" s="9" t="n">
        <v>662</v>
      </c>
      <c r="S7" s="9" t="n">
        <v>175</v>
      </c>
      <c r="T7" s="8" t="inlineStr">
        <is>
          <t>USD</t>
        </is>
      </c>
      <c r="U7" s="9" t="n">
        <v>115850</v>
      </c>
      <c r="V7" s="9" t="n">
        <v>115850</v>
      </c>
      <c r="W7" s="9" t="n"/>
      <c r="X7" s="9" t="n"/>
      <c r="Y7" s="9" t="n">
        <v>3</v>
      </c>
      <c r="Z7" s="8" t="inlineStr"/>
      <c r="AA7" s="8" t="inlineStr"/>
      <c r="AB7" s="8" t="inlineStr">
        <is>
          <t>2026-06-03</t>
        </is>
      </c>
      <c r="AC7" s="8" t="inlineStr">
        <is>
          <t>2026-06-14</t>
        </is>
      </c>
      <c r="AD7" s="8" t="inlineStr">
        <is>
          <t>2026-07-17</t>
        </is>
      </c>
      <c r="AE7" s="8" t="inlineStr">
        <is>
          <t>KRW</t>
        </is>
      </c>
    </row>
    <row r="8">
      <c r="A8" s="8" t="n">
        <v>2026</v>
      </c>
      <c r="B8" s="8" t="n">
        <v>2</v>
      </c>
      <c r="C8" s="8" t="inlineStr">
        <is>
          <t>MTI (Local)</t>
        </is>
      </c>
      <c r="D8" s="8" t="inlineStr">
        <is>
          <t>Local</t>
        </is>
      </c>
      <c r="E8" s="8" t="inlineStr">
        <is>
          <t>Local</t>
        </is>
      </c>
      <c r="F8" s="8" t="inlineStr">
        <is>
          <t>TECHKING</t>
        </is>
      </c>
      <c r="G8" s="8" t="inlineStr">
        <is>
          <t>TKMTI-20260212 (PART 1)</t>
        </is>
      </c>
      <c r="H8" s="8" t="inlineStr"/>
      <c r="I8" s="8" t="inlineStr">
        <is>
          <t>2026-02-12</t>
        </is>
      </c>
      <c r="J8" s="8" t="inlineStr"/>
      <c r="K8" s="8" t="inlineStr">
        <is>
          <t>CID2615330CY</t>
        </is>
      </c>
      <c r="L8" s="8" t="inlineStr">
        <is>
          <t>7.50R16</t>
        </is>
      </c>
      <c r="M8" s="8" t="inlineStr">
        <is>
          <t>SUPER AM S</t>
        </is>
      </c>
      <c r="N8" s="8" t="inlineStr">
        <is>
          <t>750R16SUPERAMS14M</t>
        </is>
      </c>
      <c r="O8" s="8" t="inlineStr">
        <is>
          <t>TK 7.50R16 SUPER AM S 14 (M)</t>
        </is>
      </c>
      <c r="P8" s="8" t="inlineStr">
        <is>
          <t>LTR</t>
        </is>
      </c>
      <c r="Q8" s="9" t="n">
        <v>600</v>
      </c>
      <c r="R8" s="9" t="n">
        <v>600</v>
      </c>
      <c r="S8" s="9" t="n">
        <v>1249825</v>
      </c>
      <c r="T8" s="8" t="inlineStr">
        <is>
          <t>IDR</t>
        </is>
      </c>
      <c r="U8" s="9" t="n">
        <v>749895000</v>
      </c>
      <c r="V8" s="9" t="n"/>
      <c r="W8" s="9" t="n">
        <v>749895000</v>
      </c>
      <c r="X8" s="9" t="n"/>
      <c r="Y8" s="9" t="n">
        <v>1</v>
      </c>
      <c r="Z8" s="8" t="inlineStr"/>
      <c r="AA8" s="8" t="inlineStr"/>
      <c r="AB8" s="8" t="inlineStr">
        <is>
          <t>2026-02-17</t>
        </is>
      </c>
      <c r="AC8" s="8" t="inlineStr">
        <is>
          <t>2026-02-20</t>
        </is>
      </c>
      <c r="AD8" s="8" t="inlineStr">
        <is>
          <t>2026-02-20</t>
        </is>
      </c>
      <c r="AE8" s="8" t="inlineStr">
        <is>
          <t>KRW</t>
        </is>
      </c>
    </row>
  </sheetData>
  <autoFilter ref="A5:A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20" customWidth="1" min="4" max="4"/>
    <col width="12" customWidth="1" min="5" max="5"/>
    <col width="14" customWidth="1" min="6" max="6"/>
    <col width="10" customWidth="1" min="7" max="7"/>
    <col width="7" customWidth="1" min="8" max="8"/>
    <col width="13" customWidth="1" min="9" max="9"/>
    <col width="34" customWidth="1" min="10" max="10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PUR-02 Incoming Summary (Local &amp; Import) — October 2026</t>
        </is>
      </c>
    </row>
    <row r="3">
      <c r="A3" s="6" t="inlineStr">
        <is>
          <t>요청자: Lestari (Purchasing Dept.) · RR-20261027-002  ·  ASM Menu: Reports › PURCHASE › Incoming Summary  ·  Internal use only (필수문서 5종 아님)</t>
        </is>
      </c>
    </row>
    <row r="5" ht="30" customHeight="1">
      <c r="A5" s="7" t="inlineStr">
        <is>
          <t>Month</t>
        </is>
      </c>
      <c r="B5" s="7" t="inlineStr">
        <is>
          <t>Supplier</t>
        </is>
      </c>
      <c r="C5" s="7" t="inlineStr">
        <is>
          <t>Purchase Type</t>
        </is>
      </c>
      <c r="D5" s="7" t="inlineStr">
        <is>
          <t>Brand</t>
        </is>
      </c>
      <c r="E5" s="7" t="inlineStr">
        <is>
          <t>Type 1</t>
        </is>
      </c>
      <c r="F5" s="7" t="inlineStr">
        <is>
          <t>Type 2 / Spec</t>
        </is>
      </c>
      <c r="G5" s="7" t="inlineStr">
        <is>
          <t>Qty</t>
        </is>
      </c>
      <c r="H5" s="7" t="inlineStr">
        <is>
          <t>CTR</t>
        </is>
      </c>
      <c r="I5" s="7" t="inlineStr">
        <is>
          <t>Delivery W/H</t>
        </is>
      </c>
      <c r="J5" s="7" t="inlineStr">
        <is>
          <t>Items (summary)</t>
        </is>
      </c>
    </row>
    <row r="6">
      <c r="A6" s="8" t="inlineStr">
        <is>
          <t>2026-10</t>
        </is>
      </c>
      <c r="B6" s="8" t="inlineStr">
        <is>
          <t>HUBEI (Aulice)</t>
        </is>
      </c>
      <c r="C6" s="8" t="inlineStr">
        <is>
          <t>Import</t>
        </is>
      </c>
      <c r="D6" s="8" t="inlineStr">
        <is>
          <t>ASCENDO</t>
        </is>
      </c>
      <c r="E6" s="8" t="inlineStr">
        <is>
          <t>Industrial</t>
        </is>
      </c>
      <c r="F6" s="8" t="inlineStr">
        <is>
          <t>Pneumatic</t>
        </is>
      </c>
      <c r="G6" s="9" t="n">
        <v>137</v>
      </c>
      <c r="H6" s="9" t="n">
        <v>1</v>
      </c>
      <c r="I6" s="8" t="inlineStr">
        <is>
          <t>Karawang</t>
        </is>
      </c>
      <c r="J6" s="8" t="inlineStr">
        <is>
          <t>AS432 · AB700 (7 sizes)</t>
        </is>
      </c>
    </row>
    <row r="7">
      <c r="A7" s="8" t="inlineStr">
        <is>
          <t>2026-10</t>
        </is>
      </c>
      <c r="B7" s="8" t="inlineStr">
        <is>
          <t>HUBEI (Aulice)</t>
        </is>
      </c>
      <c r="C7" s="8" t="inlineStr">
        <is>
          <t>Import</t>
        </is>
      </c>
      <c r="D7" s="8" t="inlineStr">
        <is>
          <t>ASCENDO</t>
        </is>
      </c>
      <c r="E7" s="8" t="inlineStr">
        <is>
          <t>OTR-BIAS</t>
        </is>
      </c>
      <c r="F7" s="8" t="inlineStr">
        <is>
          <t>OTR</t>
        </is>
      </c>
      <c r="G7" s="9" t="n">
        <v>17</v>
      </c>
      <c r="H7" s="9" t="n">
        <v>0</v>
      </c>
      <c r="I7" s="8" t="inlineStr">
        <is>
          <t>Karawang</t>
        </is>
      </c>
      <c r="J7" s="8" t="inlineStr">
        <is>
          <t>ASC 17.5-25 AE803</t>
        </is>
      </c>
    </row>
    <row r="8">
      <c r="A8" s="8" t="inlineStr">
        <is>
          <t>2026-10</t>
        </is>
      </c>
      <c r="B8" s="8" t="inlineStr">
        <is>
          <t>TECHKING</t>
        </is>
      </c>
      <c r="C8" s="8" t="inlineStr">
        <is>
          <t>Import</t>
        </is>
      </c>
      <c r="D8" s="8" t="inlineStr">
        <is>
          <t>TECHKING</t>
        </is>
      </c>
      <c r="E8" s="8" t="inlineStr">
        <is>
          <t>OTR-RADIAL</t>
        </is>
      </c>
      <c r="F8" s="8" t="inlineStr">
        <is>
          <t>OTR</t>
        </is>
      </c>
      <c r="G8" s="9" t="n">
        <v>20</v>
      </c>
      <c r="H8" s="9" t="n">
        <v>1</v>
      </c>
      <c r="I8" s="8" t="inlineStr">
        <is>
          <t>Karawang</t>
        </is>
      </c>
      <c r="J8" s="8" t="inlineStr">
        <is>
          <t>TK 460/95R25 TK609</t>
        </is>
      </c>
    </row>
    <row r="9">
      <c r="A9" s="8" t="inlineStr">
        <is>
          <t>2026-10</t>
        </is>
      </c>
      <c r="B9" s="8" t="inlineStr">
        <is>
          <t>RUNGOLD (Dongying)</t>
        </is>
      </c>
      <c r="C9" s="8" t="inlineStr">
        <is>
          <t>Import</t>
        </is>
      </c>
      <c r="D9" s="8" t="inlineStr">
        <is>
          <t>ASCENDO</t>
        </is>
      </c>
      <c r="E9" s="8" t="inlineStr">
        <is>
          <t>AGR</t>
        </is>
      </c>
      <c r="F9" s="8" t="inlineStr">
        <is>
          <t>Industrial</t>
        </is>
      </c>
      <c r="G9" s="9" t="n">
        <v>495</v>
      </c>
      <c r="H9" s="9" t="n">
        <v>2</v>
      </c>
      <c r="I9" s="8" t="inlineStr">
        <is>
          <t>Karawang</t>
        </is>
      </c>
      <c r="J9" s="8" t="inlineStr">
        <is>
          <t>R1 8-16 ~ 16.9-30 (10 sizes)</t>
        </is>
      </c>
    </row>
    <row r="10">
      <c r="A10" s="8" t="inlineStr">
        <is>
          <t>2026-10</t>
        </is>
      </c>
      <c r="B10" s="8" t="inlineStr">
        <is>
          <t>RUNGOLD (Dongying)</t>
        </is>
      </c>
      <c r="C10" s="8" t="inlineStr">
        <is>
          <t>Import</t>
        </is>
      </c>
      <c r="D10" s="8" t="inlineStr">
        <is>
          <t>ASCENDO</t>
        </is>
      </c>
      <c r="E10" s="8" t="inlineStr">
        <is>
          <t>OTR</t>
        </is>
      </c>
      <c r="F10" s="8" t="inlineStr">
        <is>
          <t>OTR-RADIAL</t>
        </is>
      </c>
      <c r="G10" s="9" t="n">
        <v>87</v>
      </c>
      <c r="H10" s="9" t="n">
        <v>2</v>
      </c>
      <c r="I10" s="8" t="inlineStr">
        <is>
          <t>Karawang</t>
        </is>
      </c>
      <c r="J10" s="8" t="inlineStr">
        <is>
          <t>AD903 · AD908 · AD909</t>
        </is>
      </c>
    </row>
    <row r="11">
      <c r="A11" s="8" t="inlineStr">
        <is>
          <t>2026-10</t>
        </is>
      </c>
      <c r="B11" s="8" t="inlineStr">
        <is>
          <t>HUAJUN FLAP</t>
        </is>
      </c>
      <c r="C11" s="8" t="inlineStr">
        <is>
          <t>Import</t>
        </is>
      </c>
      <c r="D11" s="8" t="inlineStr">
        <is>
          <t>ASCENDO</t>
        </is>
      </c>
      <c r="E11" s="8" t="inlineStr">
        <is>
          <t>LT</t>
        </is>
      </c>
      <c r="F11" s="8" t="inlineStr">
        <is>
          <t>MP / STD</t>
        </is>
      </c>
      <c r="G11" s="9" t="n">
        <v>1900</v>
      </c>
      <c r="H11" s="9" t="n">
        <v>2</v>
      </c>
      <c r="I11" s="8" t="inlineStr">
        <is>
          <t>Karawang</t>
        </is>
      </c>
      <c r="J11" s="8" t="inlineStr">
        <is>
          <t>MP 1,000 · STD 900</t>
        </is>
      </c>
    </row>
    <row r="12">
      <c r="A12" s="8" t="inlineStr">
        <is>
          <t>2026-10</t>
        </is>
      </c>
      <c r="B12" s="8" t="inlineStr">
        <is>
          <t>HUAJUN FLAP</t>
        </is>
      </c>
      <c r="C12" s="8" t="inlineStr">
        <is>
          <t>Import</t>
        </is>
      </c>
      <c r="D12" s="8" t="inlineStr">
        <is>
          <t>ASCENDO</t>
        </is>
      </c>
      <c r="E12" s="8" t="inlineStr">
        <is>
          <t>TB</t>
        </is>
      </c>
      <c r="F12" s="8" t="inlineStr">
        <is>
          <t>MP / STD</t>
        </is>
      </c>
      <c r="G12" s="9" t="n">
        <v>13200</v>
      </c>
      <c r="H12" s="9" t="n">
        <v>0</v>
      </c>
      <c r="I12" s="8" t="inlineStr">
        <is>
          <t>Karawang</t>
        </is>
      </c>
      <c r="J12" s="8" t="inlineStr">
        <is>
          <t>MP 9,200 · STD 4,000</t>
        </is>
      </c>
    </row>
    <row r="13">
      <c r="A13" s="8" t="inlineStr">
        <is>
          <t>2026-10</t>
        </is>
      </c>
      <c r="B13" s="8" t="inlineStr">
        <is>
          <t>HUAJUN FLAP</t>
        </is>
      </c>
      <c r="C13" s="8" t="inlineStr">
        <is>
          <t>Import</t>
        </is>
      </c>
      <c r="D13" s="8" t="inlineStr">
        <is>
          <t>ASCENDO</t>
        </is>
      </c>
      <c r="E13" s="8" t="inlineStr">
        <is>
          <t>OTR</t>
        </is>
      </c>
      <c r="F13" s="8" t="inlineStr">
        <is>
          <t>MP / STD</t>
        </is>
      </c>
      <c r="G13" s="9" t="n">
        <v>609</v>
      </c>
      <c r="H13" s="9" t="n">
        <v>0</v>
      </c>
      <c r="I13" s="8" t="inlineStr">
        <is>
          <t>Karawang</t>
        </is>
      </c>
      <c r="J13" s="8" t="inlineStr">
        <is>
          <t>MP 35 · STD 574</t>
        </is>
      </c>
    </row>
    <row r="14">
      <c r="A14" s="8" t="inlineStr">
        <is>
          <t>2026-10</t>
        </is>
      </c>
      <c r="B14" s="8" t="inlineStr">
        <is>
          <t>HUAJUN FLAP</t>
        </is>
      </c>
      <c r="C14" s="8" t="inlineStr">
        <is>
          <t>Import</t>
        </is>
      </c>
      <c r="D14" s="8" t="inlineStr">
        <is>
          <t>TRUCKORR</t>
        </is>
      </c>
      <c r="E14" s="8" t="inlineStr">
        <is>
          <t>LT / TB</t>
        </is>
      </c>
      <c r="F14" s="8" t="inlineStr">
        <is>
          <t>STD</t>
        </is>
      </c>
      <c r="G14" s="9" t="n">
        <v>650</v>
      </c>
      <c r="H14" s="9" t="n">
        <v>0</v>
      </c>
      <c r="I14" s="8" t="inlineStr">
        <is>
          <t>Karawang</t>
        </is>
      </c>
      <c r="J14" s="8" t="inlineStr">
        <is>
          <t>200 + 450</t>
        </is>
      </c>
    </row>
    <row r="15">
      <c r="A15" s="8" t="inlineStr">
        <is>
          <t>2026-10</t>
        </is>
      </c>
      <c r="B15" s="8" t="inlineStr">
        <is>
          <t>MTI (Local)</t>
        </is>
      </c>
      <c r="C15" s="8" t="inlineStr">
        <is>
          <t>Local</t>
        </is>
      </c>
      <c r="D15" s="8" t="inlineStr">
        <is>
          <t>TECHKING / ASCENDO</t>
        </is>
      </c>
      <c r="E15" s="8" t="inlineStr">
        <is>
          <t>-</t>
        </is>
      </c>
      <c r="F15" s="8" t="inlineStr">
        <is>
          <t>-</t>
        </is>
      </c>
      <c r="G15" s="9" t="n">
        <v>0</v>
      </c>
      <c r="H15" s="9" t="n">
        <v>0</v>
      </c>
      <c r="I15" s="8" t="inlineStr">
        <is>
          <t>-</t>
        </is>
      </c>
      <c r="J15" s="8" t="inlineStr">
        <is>
          <t>당월 입고 없음</t>
        </is>
      </c>
    </row>
    <row r="16">
      <c r="A16" s="13" t="inlineStr">
        <is>
          <t>Grand Total</t>
        </is>
      </c>
      <c r="B16" s="13" t="inlineStr"/>
      <c r="C16" s="13" t="inlineStr"/>
      <c r="D16" s="13" t="inlineStr"/>
      <c r="E16" s="13" t="inlineStr"/>
      <c r="F16" s="13" t="inlineStr"/>
      <c r="G16" s="14" t="n">
        <v>17115</v>
      </c>
      <c r="H16" s="14" t="n">
        <v>8</v>
      </c>
      <c r="I16" s="13" t="inlineStr"/>
      <c r="J16" s="13" t="inlineStr"/>
    </row>
    <row r="18">
      <c r="A18" s="10" t="inlineStr">
        <is>
          <t>NOTE</t>
        </is>
      </c>
    </row>
    <row r="19">
      <c r="A19" s="11" t="inlineStr">
        <is>
          <t>1. 집계 기준 = Delivery W/H(창고 도착일) 월. CTR = Container No 고유 건수</t>
        </is>
      </c>
    </row>
    <row r="20">
      <c r="A20" s="11" t="inlineStr">
        <is>
          <t>2. 품목 상세는 2-2 Data 시트</t>
        </is>
      </c>
    </row>
  </sheetData>
  <autoFilter ref="A5:J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20" customWidth="1" min="4" max="4"/>
    <col width="11" customWidth="1" min="5" max="5"/>
    <col width="11" customWidth="1" min="6" max="6"/>
    <col width="12" customWidth="1" min="7" max="7"/>
    <col width="11" customWidth="1" min="8" max="8"/>
    <col width="32" customWidth="1" min="9" max="9"/>
    <col width="8" customWidth="1" min="10" max="10"/>
    <col width="14" customWidth="1" min="11" max="11"/>
    <col width="6" customWidth="1" min="12" max="12"/>
    <col width="14" customWidth="1" min="13" max="13"/>
    <col width="11" customWidth="1" min="14" max="14"/>
    <col width="18" customWidth="1" min="15" max="15"/>
    <col width="16" customWidth="1" min="16" max="16"/>
    <col width="14" customWidth="1" min="17" max="17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PUR-02 Data : Receipt (GR) line (ASM download)</t>
        </is>
      </c>
    </row>
    <row r="3">
      <c r="A3" s="6" t="inlineStr">
        <is>
          <t>요청자: Lestari (Purchasing Dept.) · RR-20261027-002  ·  ASM Menu: Purchase › Receipts WH / Shipment  ·  Internal use only (필수문서 5종 아님)</t>
        </is>
      </c>
    </row>
    <row r="5" ht="30" customHeight="1">
      <c r="A5" s="7" t="inlineStr">
        <is>
          <t>GR Date</t>
        </is>
      </c>
      <c r="B5" s="7" t="inlineStr">
        <is>
          <t>Month</t>
        </is>
      </c>
      <c r="C5" s="7" t="inlineStr">
        <is>
          <t>Warehouse</t>
        </is>
      </c>
      <c r="D5" s="7" t="inlineStr">
        <is>
          <t>Supplier</t>
        </is>
      </c>
      <c r="E5" s="7" t="inlineStr">
        <is>
          <t>Purchase Type</t>
        </is>
      </c>
      <c r="F5" s="7" t="inlineStr">
        <is>
          <t>Brand</t>
        </is>
      </c>
      <c r="G5" s="7" t="inlineStr">
        <is>
          <t>Type 1</t>
        </is>
      </c>
      <c r="H5" s="7" t="inlineStr">
        <is>
          <t>Type 2</t>
        </is>
      </c>
      <c r="I5" s="7" t="inlineStr">
        <is>
          <t>Description</t>
        </is>
      </c>
      <c r="J5" s="7" t="inlineStr">
        <is>
          <t>Qty</t>
        </is>
      </c>
      <c r="K5" s="7" t="inlineStr">
        <is>
          <t>Container No</t>
        </is>
      </c>
      <c r="L5" s="7" t="inlineStr">
        <is>
          <t>CTR</t>
        </is>
      </c>
      <c r="M5" s="7" t="inlineStr">
        <is>
          <t>B/L No</t>
        </is>
      </c>
      <c r="N5" s="7" t="inlineStr">
        <is>
          <t>ETA</t>
        </is>
      </c>
      <c r="O5" s="7" t="inlineStr">
        <is>
          <t>PO No</t>
        </is>
      </c>
      <c r="P5" s="7" t="inlineStr">
        <is>
          <t>Invoice / CI No</t>
        </is>
      </c>
      <c r="Q5" s="7" t="inlineStr">
        <is>
          <t>GR No (ASM)</t>
        </is>
      </c>
    </row>
    <row r="6">
      <c r="A6" s="8" t="inlineStr">
        <is>
          <t>2026-10-05</t>
        </is>
      </c>
      <c r="B6" s="8" t="inlineStr">
        <is>
          <t>2026-10</t>
        </is>
      </c>
      <c r="C6" s="8" t="inlineStr">
        <is>
          <t>KRW</t>
        </is>
      </c>
      <c r="D6" s="8" t="inlineStr">
        <is>
          <t>TECHKING</t>
        </is>
      </c>
      <c r="E6" s="8" t="inlineStr">
        <is>
          <t>Import</t>
        </is>
      </c>
      <c r="F6" s="8" t="inlineStr">
        <is>
          <t>TECHKING</t>
        </is>
      </c>
      <c r="G6" s="8" t="inlineStr">
        <is>
          <t>OTR-RADIAL</t>
        </is>
      </c>
      <c r="H6" s="8" t="inlineStr">
        <is>
          <t>OTR</t>
        </is>
      </c>
      <c r="I6" s="8" t="inlineStr">
        <is>
          <t>TK 460/95R25 TK609</t>
        </is>
      </c>
      <c r="J6" s="9" t="n">
        <v>20</v>
      </c>
      <c r="K6" s="8" t="inlineStr"/>
      <c r="L6" s="9" t="n">
        <v>1</v>
      </c>
      <c r="M6" s="8" t="inlineStr"/>
      <c r="N6" s="8" t="inlineStr">
        <is>
          <t>2026-10-01</t>
        </is>
      </c>
      <c r="O6" s="8" t="inlineStr"/>
      <c r="P6" s="8" t="inlineStr"/>
      <c r="Q6" s="8" t="inlineStr"/>
    </row>
    <row r="7">
      <c r="A7" s="8" t="inlineStr">
        <is>
          <t>2026-10-12</t>
        </is>
      </c>
      <c r="B7" s="8" t="inlineStr">
        <is>
          <t>2026-10</t>
        </is>
      </c>
      <c r="C7" s="8" t="inlineStr">
        <is>
          <t>KRW</t>
        </is>
      </c>
      <c r="D7" s="8" t="inlineStr">
        <is>
          <t>RUNGOLD (Dongying)</t>
        </is>
      </c>
      <c r="E7" s="8" t="inlineStr">
        <is>
          <t>Import</t>
        </is>
      </c>
      <c r="F7" s="8" t="inlineStr">
        <is>
          <t>ASCENDO</t>
        </is>
      </c>
      <c r="G7" s="8" t="inlineStr">
        <is>
          <t>AGR</t>
        </is>
      </c>
      <c r="H7" s="8" t="inlineStr">
        <is>
          <t>Industrial</t>
        </is>
      </c>
      <c r="I7" s="8" t="inlineStr">
        <is>
          <t>ASC 8-16 R1 8PR (R)</t>
        </is>
      </c>
      <c r="J7" s="9" t="n">
        <v>210</v>
      </c>
      <c r="K7" s="8" t="inlineStr"/>
      <c r="L7" s="9" t="n">
        <v>1</v>
      </c>
      <c r="M7" s="8" t="inlineStr"/>
      <c r="N7" s="8" t="inlineStr"/>
      <c r="O7" s="8" t="inlineStr"/>
      <c r="P7" s="8" t="inlineStr"/>
      <c r="Q7" s="8" t="inlineStr"/>
    </row>
    <row r="8">
      <c r="A8" s="8" t="inlineStr">
        <is>
          <t>2026-10-20</t>
        </is>
      </c>
      <c r="B8" s="8" t="inlineStr">
        <is>
          <t>2026-10</t>
        </is>
      </c>
      <c r="C8" s="8" t="inlineStr">
        <is>
          <t>KRW</t>
        </is>
      </c>
      <c r="D8" s="8" t="inlineStr">
        <is>
          <t>HUAJUN FLAP</t>
        </is>
      </c>
      <c r="E8" s="8" t="inlineStr">
        <is>
          <t>Import</t>
        </is>
      </c>
      <c r="F8" s="8" t="inlineStr">
        <is>
          <t>ASCENDO</t>
        </is>
      </c>
      <c r="G8" s="8" t="inlineStr">
        <is>
          <t>TB</t>
        </is>
      </c>
      <c r="H8" s="8" t="inlineStr">
        <is>
          <t>MP</t>
        </is>
      </c>
      <c r="I8" s="8" t="inlineStr">
        <is>
          <t>ASC 11.00/12.00R20 (H) Metal Plate</t>
        </is>
      </c>
      <c r="J8" s="9" t="n">
        <v>4000</v>
      </c>
      <c r="K8" s="8" t="inlineStr"/>
      <c r="L8" s="9" t="n">
        <v>0</v>
      </c>
      <c r="M8" s="8" t="inlineStr"/>
      <c r="N8" s="8" t="inlineStr"/>
      <c r="O8" s="8" t="inlineStr"/>
      <c r="P8" s="8" t="inlineStr"/>
      <c r="Q8" s="8" t="inlineStr"/>
    </row>
  </sheetData>
  <autoFilter ref="A5:Q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7" customWidth="1" min="3" max="3"/>
    <col width="18" customWidth="1" min="4" max="4"/>
    <col width="26" customWidth="1" min="5" max="5"/>
    <col width="7" customWidth="1" min="6" max="6"/>
    <col width="5" customWidth="1" min="7" max="7"/>
    <col width="11" customWidth="1" min="8" max="8"/>
    <col width="11" customWidth="1" min="9" max="9"/>
    <col width="20" customWidth="1" min="10" max="10"/>
    <col width="13" customWidth="1" min="11" max="11"/>
    <col width="16" customWidth="1" min="12" max="12"/>
    <col width="10" customWidth="1" min="13" max="13"/>
    <col width="16" customWidth="1" min="14" max="14"/>
    <col width="11" customWidth="1" min="15" max="15"/>
    <col width="8" customWidth="1" min="16" max="16"/>
    <col width="11" customWidth="1" min="17" max="17"/>
    <col width="13" customWidth="1" min="18" max="18"/>
    <col width="12" customWidth="1" min="19" max="19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PUR-03 Import Cost &amp; Budget Plan — September 2026 (Due Date basis)</t>
        </is>
      </c>
    </row>
    <row r="3">
      <c r="A3" s="6" t="inlineStr">
        <is>
          <t>요청자: Lestari (Purchasing Dept.) · RR-20261027-002  ·  ASM Menu: Reports › PURCHASE › Import Cost &amp; Budget Plan  ·  Internal use only (필수문서 5종 아님)</t>
        </is>
      </c>
    </row>
    <row r="5" ht="30" customHeight="1">
      <c r="A5" s="7" t="inlineStr">
        <is>
          <t>Plan Month</t>
        </is>
      </c>
      <c r="B5" s="7" t="inlineStr">
        <is>
          <t>Supplier</t>
        </is>
      </c>
      <c r="C5" s="7" t="inlineStr">
        <is>
          <t>License</t>
        </is>
      </c>
      <c r="D5" s="7" t="inlineStr">
        <is>
          <t>PO / Invoice No</t>
        </is>
      </c>
      <c r="E5" s="7" t="inlineStr">
        <is>
          <t>Item</t>
        </is>
      </c>
      <c r="F5" s="7" t="inlineStr">
        <is>
          <t>Qty</t>
        </is>
      </c>
      <c r="G5" s="7" t="inlineStr">
        <is>
          <t>Ctr</t>
        </is>
      </c>
      <c r="H5" s="7" t="inlineStr">
        <is>
          <t>ETA</t>
        </is>
      </c>
      <c r="I5" s="7" t="inlineStr">
        <is>
          <t>Delivery WH</t>
        </is>
      </c>
      <c r="J5" s="7" t="inlineStr">
        <is>
          <t>Payment Type</t>
        </is>
      </c>
      <c r="K5" s="7" t="inlineStr">
        <is>
          <t>Amount USD</t>
        </is>
      </c>
      <c r="L5" s="7" t="inlineStr">
        <is>
          <t>Amount IDR</t>
        </is>
      </c>
      <c r="M5" s="7" t="inlineStr">
        <is>
          <t>Kurs (Plan)</t>
        </is>
      </c>
      <c r="N5" s="7" t="inlineStr">
        <is>
          <t>IDR Equivalent</t>
        </is>
      </c>
      <c r="O5" s="7" t="inlineStr">
        <is>
          <t>Due Date</t>
        </is>
      </c>
      <c r="P5" s="7" t="inlineStr">
        <is>
          <t>Status</t>
        </is>
      </c>
      <c r="Q5" s="7" t="inlineStr">
        <is>
          <t>Paid Date</t>
        </is>
      </c>
      <c r="R5" s="7" t="inlineStr">
        <is>
          <t>Actual Amount</t>
        </is>
      </c>
      <c r="S5" s="7" t="inlineStr">
        <is>
          <t>Variance</t>
        </is>
      </c>
    </row>
    <row r="6">
      <c r="A6" s="8" t="inlineStr">
        <is>
          <t>2026-09</t>
        </is>
      </c>
      <c r="B6" s="8" t="inlineStr">
        <is>
          <t>TECHKING</t>
        </is>
      </c>
      <c r="C6" s="8" t="inlineStr">
        <is>
          <t>APIU</t>
        </is>
      </c>
      <c r="D6" s="8" t="inlineStr">
        <is>
          <t>26TKPI05230A</t>
        </is>
      </c>
      <c r="E6" s="8" t="inlineStr">
        <is>
          <t>TK 12.00R20 ETFN U</t>
        </is>
      </c>
      <c r="F6" s="9" t="n">
        <v>662</v>
      </c>
      <c r="G6" s="9" t="n">
        <v>3</v>
      </c>
      <c r="H6" s="8" t="inlineStr">
        <is>
          <t>2026-06-14</t>
        </is>
      </c>
      <c r="I6" s="8" t="inlineStr">
        <is>
          <t>2026-07-17</t>
        </is>
      </c>
      <c r="J6" s="8" t="inlineStr">
        <is>
          <t>Invoice USD (TT)</t>
        </is>
      </c>
      <c r="K6" s="9" t="n">
        <v>120440</v>
      </c>
      <c r="L6" s="9" t="n"/>
      <c r="M6" s="9" t="n">
        <v>16300</v>
      </c>
      <c r="N6" s="9">
        <f>IF(K6&lt;&gt;"",K6*M6,L6)</f>
        <v/>
      </c>
      <c r="O6" s="8" t="inlineStr">
        <is>
          <t>2026-09-01</t>
        </is>
      </c>
      <c r="P6" s="8" t="inlineStr">
        <is>
          <t>OPEN</t>
        </is>
      </c>
      <c r="Q6" s="8" t="inlineStr"/>
      <c r="R6" s="9" t="n"/>
      <c r="S6" s="9">
        <f>IF(R6&lt;&gt;"",R6-N6,"")</f>
        <v/>
      </c>
    </row>
    <row r="7">
      <c r="A7" s="8" t="inlineStr">
        <is>
          <t>2026-09</t>
        </is>
      </c>
      <c r="B7" s="8" t="inlineStr">
        <is>
          <t>TECHKING</t>
        </is>
      </c>
      <c r="C7" s="8" t="inlineStr">
        <is>
          <t>APIU</t>
        </is>
      </c>
      <c r="D7" s="8" t="inlineStr">
        <is>
          <t>26TKPI05094C</t>
        </is>
      </c>
      <c r="E7" s="8" t="inlineStr">
        <is>
          <t>TK 11.00R20 ETOT</t>
        </is>
      </c>
      <c r="F7" s="9" t="n">
        <v>150</v>
      </c>
      <c r="G7" s="9" t="n">
        <v>2</v>
      </c>
      <c r="H7" s="8" t="inlineStr">
        <is>
          <t>2026-06-22</t>
        </is>
      </c>
      <c r="I7" s="8" t="inlineStr">
        <is>
          <t>2026-07-17</t>
        </is>
      </c>
      <c r="J7" s="8" t="inlineStr">
        <is>
          <t>Invoice USD (TT)</t>
        </is>
      </c>
      <c r="K7" s="12" t="n">
        <v>91734.5</v>
      </c>
      <c r="L7" s="9" t="n"/>
      <c r="M7" s="9" t="n">
        <v>16300</v>
      </c>
      <c r="N7" s="9">
        <f>IF(K7&lt;&gt;"",K7*M7,L7)</f>
        <v/>
      </c>
      <c r="O7" s="8" t="inlineStr">
        <is>
          <t>2026-09-04</t>
        </is>
      </c>
      <c r="P7" s="8" t="inlineStr">
        <is>
          <t>OPEN</t>
        </is>
      </c>
      <c r="Q7" s="8" t="inlineStr"/>
      <c r="R7" s="9" t="n"/>
      <c r="S7" s="9">
        <f>IF(R7&lt;&gt;"",R7-N7,"")</f>
        <v/>
      </c>
    </row>
    <row r="8">
      <c r="A8" s="8" t="inlineStr">
        <is>
          <t>2026-09</t>
        </is>
      </c>
      <c r="B8" s="8" t="inlineStr">
        <is>
          <t>TECHKING</t>
        </is>
      </c>
      <c r="C8" s="8" t="inlineStr">
        <is>
          <t>APIU</t>
        </is>
      </c>
      <c r="D8" s="8" t="inlineStr">
        <is>
          <t>26TKPI05116</t>
        </is>
      </c>
      <c r="E8" s="8" t="inlineStr">
        <is>
          <t>TK 12.00R20 ETFN U</t>
        </is>
      </c>
      <c r="F8" s="9" t="n">
        <v>222</v>
      </c>
      <c r="G8" s="9" t="n">
        <v>1</v>
      </c>
      <c r="H8" s="8" t="inlineStr">
        <is>
          <t>2026-06-24</t>
        </is>
      </c>
      <c r="I8" s="8" t="inlineStr">
        <is>
          <t>2026-07-14</t>
        </is>
      </c>
      <c r="J8" s="8" t="inlineStr">
        <is>
          <t>Invoice USD (TT)</t>
        </is>
      </c>
      <c r="K8" s="9" t="n">
        <v>40380</v>
      </c>
      <c r="L8" s="9" t="n"/>
      <c r="M8" s="9" t="n">
        <v>16300</v>
      </c>
      <c r="N8" s="9">
        <f>IF(K8&lt;&gt;"",K8*M8,L8)</f>
        <v/>
      </c>
      <c r="O8" s="8" t="inlineStr">
        <is>
          <t>2026-09-06</t>
        </is>
      </c>
      <c r="P8" s="8" t="inlineStr">
        <is>
          <t>OPEN</t>
        </is>
      </c>
      <c r="Q8" s="8" t="inlineStr"/>
      <c r="R8" s="9" t="n"/>
      <c r="S8" s="9">
        <f>IF(R8&lt;&gt;"",R8-N8,"")</f>
        <v/>
      </c>
    </row>
    <row r="9">
      <c r="A9" s="8" t="inlineStr">
        <is>
          <t>2026-09</t>
        </is>
      </c>
      <c r="B9" s="8" t="inlineStr">
        <is>
          <t>TECHKING</t>
        </is>
      </c>
      <c r="C9" s="8" t="inlineStr">
        <is>
          <t>APIU</t>
        </is>
      </c>
      <c r="D9" s="8" t="inlineStr">
        <is>
          <t>26TKPI05094B</t>
        </is>
      </c>
      <c r="E9" s="8" t="inlineStr">
        <is>
          <t>TK 11.00R20 ETFN U</t>
        </is>
      </c>
      <c r="F9" s="9" t="n">
        <v>240</v>
      </c>
      <c r="G9" s="9" t="n">
        <v>1</v>
      </c>
      <c r="H9" s="8" t="inlineStr">
        <is>
          <t>2026-06-23</t>
        </is>
      </c>
      <c r="I9" s="8" t="inlineStr">
        <is>
          <t>2026-07-13</t>
        </is>
      </c>
      <c r="J9" s="8" t="inlineStr">
        <is>
          <t>Invoice USD (TT)</t>
        </is>
      </c>
      <c r="K9" s="9" t="n">
        <v>42080</v>
      </c>
      <c r="L9" s="9" t="n"/>
      <c r="M9" s="9" t="n">
        <v>16300</v>
      </c>
      <c r="N9" s="9">
        <f>IF(K9&lt;&gt;"",K9*M9,L9)</f>
        <v/>
      </c>
      <c r="O9" s="8" t="inlineStr">
        <is>
          <t>2026-09-08</t>
        </is>
      </c>
      <c r="P9" s="8" t="inlineStr">
        <is>
          <t>OPEN</t>
        </is>
      </c>
      <c r="Q9" s="8" t="inlineStr"/>
      <c r="R9" s="9" t="n"/>
      <c r="S9" s="9">
        <f>IF(R9&lt;&gt;"",R9-N9,"")</f>
        <v/>
      </c>
    </row>
    <row r="10">
      <c r="A10" s="8" t="inlineStr">
        <is>
          <t>2026-09</t>
        </is>
      </c>
      <c r="B10" s="8" t="inlineStr">
        <is>
          <t>TECHKING</t>
        </is>
      </c>
      <c r="C10" s="8" t="inlineStr">
        <is>
          <t>APIU</t>
        </is>
      </c>
      <c r="D10" s="8" t="inlineStr">
        <is>
          <t>26TKPI05230B</t>
        </is>
      </c>
      <c r="E10" s="8" t="inlineStr">
        <is>
          <t>TK 11.00R20 ETFN U</t>
        </is>
      </c>
      <c r="F10" s="9" t="n">
        <v>240</v>
      </c>
      <c r="G10" s="9" t="n">
        <v>1</v>
      </c>
      <c r="H10" s="8" t="inlineStr">
        <is>
          <t>2026-06-21</t>
        </is>
      </c>
      <c r="I10" s="8" t="inlineStr">
        <is>
          <t>2026-09-07</t>
        </is>
      </c>
      <c r="J10" s="8" t="inlineStr">
        <is>
          <t>Invoice USD (TT)</t>
        </is>
      </c>
      <c r="K10" s="9" t="n">
        <v>42230</v>
      </c>
      <c r="L10" s="9" t="n"/>
      <c r="M10" s="9" t="n">
        <v>16300</v>
      </c>
      <c r="N10" s="9">
        <f>IF(K10&lt;&gt;"",K10*M10,L10)</f>
        <v/>
      </c>
      <c r="O10" s="8" t="inlineStr">
        <is>
          <t>2026-09-11</t>
        </is>
      </c>
      <c r="P10" s="8" t="inlineStr">
        <is>
          <t>OPEN</t>
        </is>
      </c>
      <c r="Q10" s="8" t="inlineStr"/>
      <c r="R10" s="9" t="n"/>
      <c r="S10" s="9">
        <f>IF(R10&lt;&gt;"",R10-N10,"")</f>
        <v/>
      </c>
    </row>
    <row r="11">
      <c r="A11" s="8" t="inlineStr">
        <is>
          <t>2026-09</t>
        </is>
      </c>
      <c r="B11" s="8" t="inlineStr">
        <is>
          <t>TECHKING</t>
        </is>
      </c>
      <c r="C11" s="8" t="inlineStr">
        <is>
          <t>APIU</t>
        </is>
      </c>
      <c r="D11" s="8" t="inlineStr">
        <is>
          <t>26TKPI09017A</t>
        </is>
      </c>
      <c r="E11" s="8" t="inlineStr">
        <is>
          <t>TK 12.00R20 ETFN U</t>
        </is>
      </c>
      <c r="F11" s="9" t="n">
        <v>444</v>
      </c>
      <c r="G11" s="9" t="n">
        <v>2</v>
      </c>
      <c r="H11" s="8" t="inlineStr">
        <is>
          <t>2026-06-30</t>
        </is>
      </c>
      <c r="I11" s="8" t="inlineStr">
        <is>
          <t>2026-07-16</t>
        </is>
      </c>
      <c r="J11" s="8" t="inlineStr">
        <is>
          <t>Invoice USD (TT)</t>
        </is>
      </c>
      <c r="K11" s="9" t="n">
        <v>80160</v>
      </c>
      <c r="L11" s="9" t="n"/>
      <c r="M11" s="9" t="n">
        <v>16300</v>
      </c>
      <c r="N11" s="9">
        <f>IF(K11&lt;&gt;"",K11*M11,L11)</f>
        <v/>
      </c>
      <c r="O11" s="8" t="inlineStr">
        <is>
          <t>2026-09-15</t>
        </is>
      </c>
      <c r="P11" s="8" t="inlineStr">
        <is>
          <t>OPEN</t>
        </is>
      </c>
      <c r="Q11" s="8" t="inlineStr"/>
      <c r="R11" s="9" t="n"/>
      <c r="S11" s="9">
        <f>IF(R11&lt;&gt;"",R11-N11,"")</f>
        <v/>
      </c>
    </row>
    <row r="12">
      <c r="A12" s="8" t="inlineStr">
        <is>
          <t>2026-09</t>
        </is>
      </c>
      <c r="B12" s="8" t="inlineStr">
        <is>
          <t>TECHKING</t>
        </is>
      </c>
      <c r="C12" s="8" t="inlineStr">
        <is>
          <t>APIU</t>
        </is>
      </c>
      <c r="D12" s="8" t="inlineStr">
        <is>
          <t>26TKPI09017B</t>
        </is>
      </c>
      <c r="E12" s="8" t="inlineStr">
        <is>
          <t>TK 12.00R20 ETFN U</t>
        </is>
      </c>
      <c r="F12" s="9" t="n">
        <v>222</v>
      </c>
      <c r="G12" s="9" t="n">
        <v>1</v>
      </c>
      <c r="H12" s="8" t="inlineStr">
        <is>
          <t>2026-06-30</t>
        </is>
      </c>
      <c r="I12" s="8" t="inlineStr">
        <is>
          <t>2026-07-17</t>
        </is>
      </c>
      <c r="J12" s="8" t="inlineStr">
        <is>
          <t>Invoice USD (TT)</t>
        </is>
      </c>
      <c r="K12" s="9" t="n">
        <v>40080</v>
      </c>
      <c r="L12" s="9" t="n"/>
      <c r="M12" s="9" t="n">
        <v>16300</v>
      </c>
      <c r="N12" s="9">
        <f>IF(K12&lt;&gt;"",K12*M12,L12)</f>
        <v/>
      </c>
      <c r="O12" s="8" t="inlineStr">
        <is>
          <t>2026-09-15</t>
        </is>
      </c>
      <c r="P12" s="8" t="inlineStr">
        <is>
          <t>OPEN</t>
        </is>
      </c>
      <c r="Q12" s="8" t="inlineStr"/>
      <c r="R12" s="9" t="n"/>
      <c r="S12" s="9">
        <f>IF(R12&lt;&gt;"",R12-N12,"")</f>
        <v/>
      </c>
    </row>
    <row r="13">
      <c r="A13" s="8" t="inlineStr">
        <is>
          <t>2026-09</t>
        </is>
      </c>
      <c r="B13" s="8" t="inlineStr">
        <is>
          <t>TECHKING</t>
        </is>
      </c>
      <c r="C13" s="8" t="inlineStr">
        <is>
          <t>APIU</t>
        </is>
      </c>
      <c r="D13" s="8" t="inlineStr">
        <is>
          <t>26TKPI05114</t>
        </is>
      </c>
      <c r="E13" s="8" t="inlineStr">
        <is>
          <t>TK 11.00R20 ETFN U</t>
        </is>
      </c>
      <c r="F13" s="9" t="n">
        <v>190</v>
      </c>
      <c r="G13" s="9" t="n">
        <v>1</v>
      </c>
      <c r="H13" s="8" t="inlineStr">
        <is>
          <t>2026-06-08</t>
        </is>
      </c>
      <c r="I13" s="8" t="inlineStr">
        <is>
          <t>2026-06-23</t>
        </is>
      </c>
      <c r="J13" s="8" t="inlineStr">
        <is>
          <t>Invoice USD (TT)</t>
        </is>
      </c>
      <c r="K13" s="12" t="n">
        <v>44387.5</v>
      </c>
      <c r="L13" s="9" t="n"/>
      <c r="M13" s="9" t="n">
        <v>16300</v>
      </c>
      <c r="N13" s="9">
        <f>IF(K13&lt;&gt;"",K13*M13,L13)</f>
        <v/>
      </c>
      <c r="O13" s="8" t="inlineStr">
        <is>
          <t>2026-09-29</t>
        </is>
      </c>
      <c r="P13" s="8" t="inlineStr">
        <is>
          <t>OPEN</t>
        </is>
      </c>
      <c r="Q13" s="8" t="inlineStr"/>
      <c r="R13" s="9" t="n"/>
      <c r="S13" s="9">
        <f>IF(R13&lt;&gt;"",R13-N13,"")</f>
        <v/>
      </c>
    </row>
    <row r="14">
      <c r="A14" s="8" t="inlineStr">
        <is>
          <t>2026-09</t>
        </is>
      </c>
      <c r="B14" s="8" t="inlineStr">
        <is>
          <t>HUBEI via HIRUNDO</t>
        </is>
      </c>
      <c r="C14" s="8" t="inlineStr">
        <is>
          <t>APIP</t>
        </is>
      </c>
      <c r="D14" s="8" t="inlineStr">
        <is>
          <t>AULICE20260330H-3</t>
        </is>
      </c>
      <c r="E14" s="8" t="inlineStr">
        <is>
          <t>ASC 9.00R20 AR102HD</t>
        </is>
      </c>
      <c r="F14" s="9" t="n">
        <v>98</v>
      </c>
      <c r="G14" s="9" t="n">
        <v>5</v>
      </c>
      <c r="H14" s="8" t="inlineStr">
        <is>
          <t>2026-06-27</t>
        </is>
      </c>
      <c r="I14" s="8" t="inlineStr">
        <is>
          <t>2026-07-02</t>
        </is>
      </c>
      <c r="J14" s="8" t="inlineStr">
        <is>
          <t>Hirundo BP 70% (IDR)</t>
        </is>
      </c>
      <c r="K14" s="9" t="n"/>
      <c r="L14" s="9" t="n">
        <v>3038058900</v>
      </c>
      <c r="M14" s="9" t="n">
        <v>16300</v>
      </c>
      <c r="N14" s="9">
        <f>IF(K14&lt;&gt;"",K14*M14,L14)</f>
        <v/>
      </c>
      <c r="O14" s="8" t="inlineStr">
        <is>
          <t>2026-09-15</t>
        </is>
      </c>
      <c r="P14" s="8" t="inlineStr">
        <is>
          <t>OPEN</t>
        </is>
      </c>
      <c r="Q14" s="8" t="inlineStr"/>
      <c r="R14" s="9" t="n"/>
      <c r="S14" s="9">
        <f>IF(R14&lt;&gt;"",R14-N14,"")</f>
        <v/>
      </c>
    </row>
    <row r="15">
      <c r="A15" s="8" t="inlineStr">
        <is>
          <t>2026-09</t>
        </is>
      </c>
      <c r="B15" s="8" t="inlineStr">
        <is>
          <t>RUNGOLD via HIRUNDO</t>
        </is>
      </c>
      <c r="C15" s="8" t="inlineStr">
        <is>
          <t>APIP</t>
        </is>
      </c>
      <c r="D15" s="8" t="inlineStr">
        <is>
          <t>HT-20260903-005</t>
        </is>
      </c>
      <c r="E15" s="8" t="inlineStr">
        <is>
          <t>ASC 17.5-25 G2/L2 20PR TTF</t>
        </is>
      </c>
      <c r="F15" s="9" t="n">
        <v>100</v>
      </c>
      <c r="G15" s="9" t="n">
        <v>1</v>
      </c>
      <c r="H15" s="8" t="inlineStr">
        <is>
          <t>2026-09-19</t>
        </is>
      </c>
      <c r="I15" s="8" t="inlineStr">
        <is>
          <t>2026-09-21</t>
        </is>
      </c>
      <c r="J15" s="8" t="inlineStr">
        <is>
          <t>Hirundo DP 30% (IDR)</t>
        </is>
      </c>
      <c r="K15" s="9" t="n"/>
      <c r="L15" s="9" t="n">
        <v>129330000</v>
      </c>
      <c r="M15" s="9" t="n">
        <v>16300</v>
      </c>
      <c r="N15" s="9">
        <f>IF(K15&lt;&gt;"",K15*M15,L15)</f>
        <v/>
      </c>
      <c r="O15" s="8" t="inlineStr">
        <is>
          <t>2026-09-16</t>
        </is>
      </c>
      <c r="P15" s="8" t="inlineStr">
        <is>
          <t>OPEN</t>
        </is>
      </c>
      <c r="Q15" s="8" t="inlineStr"/>
      <c r="R15" s="9" t="n"/>
      <c r="S15" s="9">
        <f>IF(R15&lt;&gt;"",R15-N15,"")</f>
        <v/>
      </c>
    </row>
    <row r="16">
      <c r="A16" s="13" t="inlineStr">
        <is>
          <t>Total</t>
        </is>
      </c>
      <c r="B16" s="13" t="inlineStr"/>
      <c r="C16" s="13" t="inlineStr"/>
      <c r="D16" s="13" t="inlineStr"/>
      <c r="E16" s="13" t="inlineStr"/>
      <c r="F16" s="14">
        <f>SUM(F6:F15)</f>
        <v/>
      </c>
      <c r="G16" s="14">
        <f>SUM(G6:G15)</f>
        <v/>
      </c>
      <c r="H16" s="13" t="inlineStr"/>
      <c r="I16" s="13" t="inlineStr"/>
      <c r="J16" s="13" t="inlineStr"/>
      <c r="K16" s="14">
        <f>SUM(K6:K15)</f>
        <v/>
      </c>
      <c r="L16" s="14">
        <f>SUM(L6:L15)</f>
        <v/>
      </c>
      <c r="M16" s="14" t="inlineStr"/>
      <c r="N16" s="14">
        <f>SUM(N6:N15)</f>
        <v/>
      </c>
      <c r="O16" s="13" t="inlineStr"/>
      <c r="P16" s="13" t="inlineStr"/>
      <c r="Q16" s="13" t="inlineStr"/>
      <c r="R16" s="14" t="inlineStr"/>
      <c r="S16" s="14" t="inlineStr"/>
    </row>
    <row r="18">
      <c r="A18" s="10" t="inlineStr">
        <is>
          <t>NOTE</t>
        </is>
      </c>
    </row>
    <row r="19">
      <c r="A19" s="11" t="inlineStr">
        <is>
          <t>1. Payment Type: Invoice USD(TT) · Hirundo DP/BP(IDR) · PIB(IDR) · PLB(IDR) · Local Invoice(IDR)</t>
        </is>
      </c>
    </row>
    <row r="20">
      <c r="A20" s="11" t="inlineStr">
        <is>
          <t>2. IDR Equivalent = Amount USD × Kurs(Plan) 또는 Amount IDR. Status: OPEN / PAID / OVERDUE</t>
        </is>
      </c>
    </row>
    <row r="21">
      <c r="A21" s="11" t="inlineStr">
        <is>
          <t>3. Actual Amount·Paid Date 입력 시 Variance 자동 산출(실제 − 계획)</t>
        </is>
      </c>
    </row>
  </sheetData>
  <autoFilter ref="A5:S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7" customWidth="1" min="3" max="3"/>
    <col width="18" customWidth="1" min="4" max="4"/>
    <col width="24" customWidth="1" min="5" max="5"/>
    <col width="6" customWidth="1" min="6" max="6"/>
    <col width="5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10" customWidth="1" min="13" max="13"/>
    <col width="10" customWidth="1" min="14" max="14"/>
    <col width="9" customWidth="1" min="15" max="15"/>
    <col width="12" customWidth="1" min="16" max="16"/>
    <col width="9" customWidth="1" min="17" max="17"/>
    <col width="14" customWidth="1" min="18" max="18"/>
    <col width="12" customWidth="1" min="19" max="19"/>
    <col width="12" customWidth="1" min="20" max="20"/>
    <col width="12" customWidth="1" min="21" max="21"/>
    <col width="14" customWidth="1" min="22" max="22"/>
    <col width="11" customWidth="1" min="23" max="23"/>
    <col width="13" customWidth="1" min="24" max="24"/>
    <col width="11" customWidth="1" min="25" max="25"/>
    <col width="11" customWidth="1" min="26" max="26"/>
    <col width="14" customWidth="1" min="27" max="27"/>
    <col width="11" customWidth="1" min="28" max="28"/>
    <col width="14" customWidth="1" min="29" max="29"/>
    <col width="11" customWidth="1" min="30" max="30"/>
    <col width="14" customWidth="1" min="31" max="31"/>
  </cols>
  <sheetData>
    <row r="1">
      <c r="A1" s="4" t="inlineStr">
        <is>
          <t>PT ASCENDO INTERNASIONAL · INTERNAL MANAGEMENT REPORT (ASM ERP)</t>
        </is>
      </c>
    </row>
    <row r="2">
      <c r="A2" s="5" t="inlineStr">
        <is>
          <t>PUR-03 Data : Import cost build-up (CIF · BM · PPN · PPh22 · PIB · PLB)</t>
        </is>
      </c>
    </row>
    <row r="3">
      <c r="A3" s="6" t="inlineStr">
        <is>
          <t>요청자: Lestari (Purchasing Dept.) · RR-20261027-002  ·  ASM Menu: Purchase › Customs / Import Cost  ·  Internal use only (필수문서 5종 아님)</t>
        </is>
      </c>
    </row>
    <row r="5" ht="30" customHeight="1">
      <c r="A5" s="7" t="inlineStr">
        <is>
          <t>PO No</t>
        </is>
      </c>
      <c r="B5" s="7" t="inlineStr">
        <is>
          <t>Supplier</t>
        </is>
      </c>
      <c r="C5" s="7" t="inlineStr">
        <is>
          <t>License</t>
        </is>
      </c>
      <c r="D5" s="7" t="inlineStr">
        <is>
          <t>Invoice No</t>
        </is>
      </c>
      <c r="E5" s="7" t="inlineStr">
        <is>
          <t>Item</t>
        </is>
      </c>
      <c r="F5" s="7" t="inlineStr">
        <is>
          <t>Qty</t>
        </is>
      </c>
      <c r="G5" s="7" t="inlineStr">
        <is>
          <t>Ctr</t>
        </is>
      </c>
      <c r="H5" s="7" t="inlineStr">
        <is>
          <t>ETD</t>
        </is>
      </c>
      <c r="I5" s="7" t="inlineStr">
        <is>
          <t>ETA</t>
        </is>
      </c>
      <c r="J5" s="7" t="inlineStr">
        <is>
          <t>Delivery WH</t>
        </is>
      </c>
      <c r="K5" s="7" t="inlineStr">
        <is>
          <t>FOB (USD)</t>
        </is>
      </c>
      <c r="L5" s="7" t="inlineStr">
        <is>
          <t>Amount (USD)</t>
        </is>
      </c>
      <c r="M5" s="7" t="inlineStr">
        <is>
          <t>Freight (USD)</t>
        </is>
      </c>
      <c r="N5" s="7" t="inlineStr">
        <is>
          <t>Insurance (USD)</t>
        </is>
      </c>
      <c r="O5" s="7" t="inlineStr">
        <is>
          <t>Reduce (USD)</t>
        </is>
      </c>
      <c r="P5" s="7" t="inlineStr">
        <is>
          <t>CIF (USD)</t>
        </is>
      </c>
      <c r="Q5" s="7" t="inlineStr">
        <is>
          <t>Kurs PIB</t>
        </is>
      </c>
      <c r="R5" s="7" t="inlineStr">
        <is>
          <t>CIF (IDR)</t>
        </is>
      </c>
      <c r="S5" s="7" t="inlineStr">
        <is>
          <t>BM 5%</t>
        </is>
      </c>
      <c r="T5" s="7" t="inlineStr">
        <is>
          <t>PPN 11%</t>
        </is>
      </c>
      <c r="U5" s="7" t="inlineStr">
        <is>
          <t>PPh22 7.5%</t>
        </is>
      </c>
      <c r="V5" s="7" t="inlineStr">
        <is>
          <t>PIB (IDR)</t>
        </is>
      </c>
      <c r="W5" s="7" t="inlineStr">
        <is>
          <t>Due Date PIB</t>
        </is>
      </c>
      <c r="X5" s="7" t="inlineStr">
        <is>
          <t>PLB (IDR)</t>
        </is>
      </c>
      <c r="Y5" s="7" t="inlineStr">
        <is>
          <t>Due Date PLB</t>
        </is>
      </c>
      <c r="Z5" s="7" t="inlineStr">
        <is>
          <t>Due Date USD</t>
        </is>
      </c>
      <c r="AA5" s="7" t="inlineStr">
        <is>
          <t>Hirundo DP (IDR)</t>
        </is>
      </c>
      <c r="AB5" s="7" t="inlineStr">
        <is>
          <t>Date DP</t>
        </is>
      </c>
      <c r="AC5" s="7" t="inlineStr">
        <is>
          <t>Hirundo BP (IDR)</t>
        </is>
      </c>
      <c r="AD5" s="7" t="inlineStr">
        <is>
          <t>Date BP</t>
        </is>
      </c>
      <c r="AE5" s="7" t="inlineStr">
        <is>
          <t>Landed Cost / pc (IDR)</t>
        </is>
      </c>
    </row>
    <row r="6">
      <c r="A6" s="8" t="inlineStr">
        <is>
          <t>26TKPI05230A</t>
        </is>
      </c>
      <c r="B6" s="8" t="inlineStr">
        <is>
          <t>TECHKING</t>
        </is>
      </c>
      <c r="C6" s="8" t="inlineStr">
        <is>
          <t>APIU</t>
        </is>
      </c>
      <c r="D6" s="8" t="inlineStr">
        <is>
          <t>MEDUXU064788</t>
        </is>
      </c>
      <c r="E6" s="8" t="inlineStr">
        <is>
          <t>TK 12.00R20 ETFN U</t>
        </is>
      </c>
      <c r="F6" s="9" t="n">
        <v>662</v>
      </c>
      <c r="G6" s="9" t="n">
        <v>3</v>
      </c>
      <c r="H6" s="9" t="inlineStr">
        <is>
          <t>2026-06-03</t>
        </is>
      </c>
      <c r="I6" s="9" t="inlineStr">
        <is>
          <t>2026-06-14</t>
        </is>
      </c>
      <c r="J6" s="9" t="inlineStr">
        <is>
          <t>2026-07-17</t>
        </is>
      </c>
      <c r="K6" s="9" t="n">
        <v>175</v>
      </c>
      <c r="L6" s="9" t="n">
        <v>115850</v>
      </c>
      <c r="M6" s="9" t="n">
        <v>4500</v>
      </c>
      <c r="N6" s="9" t="n">
        <v>90</v>
      </c>
      <c r="O6" s="9" t="n">
        <v>0</v>
      </c>
      <c r="P6" s="9">
        <f>L6+M6+N6-O6</f>
        <v/>
      </c>
      <c r="Q6" s="9" t="n">
        <v>16300</v>
      </c>
      <c r="R6" s="9">
        <f>P6*Q6</f>
        <v/>
      </c>
      <c r="S6" s="9">
        <f>R6*0.05</f>
        <v/>
      </c>
      <c r="T6" s="9">
        <f>(R6+S6)*0.11</f>
        <v/>
      </c>
      <c r="U6" s="9">
        <f>(R6+S6)*0.075</f>
        <v/>
      </c>
      <c r="V6" s="9">
        <f>S6+T6+U6</f>
        <v/>
      </c>
      <c r="W6" s="9" t="inlineStr">
        <is>
          <t>2026-07-15</t>
        </is>
      </c>
      <c r="X6" s="9" t="n">
        <v>45000000</v>
      </c>
      <c r="Y6" s="9" t="inlineStr">
        <is>
          <t>2026-06-17</t>
        </is>
      </c>
      <c r="Z6" s="9" t="inlineStr">
        <is>
          <t>2026-09-01</t>
        </is>
      </c>
      <c r="AA6" s="9" t="n"/>
      <c r="AB6" s="9" t="inlineStr"/>
      <c r="AC6" s="9" t="n"/>
      <c r="AD6" s="9" t="inlineStr"/>
      <c r="AE6" s="9">
        <f>(R6+S6+X6)/F6</f>
        <v/>
      </c>
    </row>
    <row r="7">
      <c r="A7" s="8" t="inlineStr">
        <is>
          <t>AULICE20260330H-3</t>
        </is>
      </c>
      <c r="B7" s="8" t="inlineStr">
        <is>
          <t>HUBEI via HIRUNDO</t>
        </is>
      </c>
      <c r="C7" s="8" t="inlineStr">
        <is>
          <t>APIP</t>
        </is>
      </c>
      <c r="D7" s="8" t="inlineStr">
        <is>
          <t>ASCHTU-20260330-3</t>
        </is>
      </c>
      <c r="E7" s="8" t="inlineStr">
        <is>
          <t>ASC 9.00R20 AR102HD</t>
        </is>
      </c>
      <c r="F7" s="9" t="n">
        <v>98</v>
      </c>
      <c r="G7" s="9" t="n">
        <v>5</v>
      </c>
      <c r="H7" s="9" t="inlineStr">
        <is>
          <t>2026-06-18</t>
        </is>
      </c>
      <c r="I7" s="9" t="inlineStr">
        <is>
          <t>2026-06-27</t>
        </is>
      </c>
      <c r="J7" s="9" t="inlineStr">
        <is>
          <t>2026-07-02</t>
        </is>
      </c>
      <c r="K7" s="12" t="n">
        <v>123.19</v>
      </c>
      <c r="L7" s="12" t="n">
        <v>12072.62</v>
      </c>
      <c r="M7" s="9" t="n">
        <v>3050</v>
      </c>
      <c r="N7" s="9" t="n">
        <v>0</v>
      </c>
      <c r="O7" s="9" t="n">
        <v>0</v>
      </c>
      <c r="P7" s="9">
        <f>L7+M7+N7-O7</f>
        <v/>
      </c>
      <c r="Q7" s="9" t="n">
        <v>16300</v>
      </c>
      <c r="R7" s="9">
        <f>P7*Q7</f>
        <v/>
      </c>
      <c r="S7" s="9">
        <f>R7*0.05</f>
        <v/>
      </c>
      <c r="T7" s="9">
        <f>(R7+S7)*0.11</f>
        <v/>
      </c>
      <c r="U7" s="9">
        <f>(R7+S7)*0.075</f>
        <v/>
      </c>
      <c r="V7" s="9">
        <f>S7+T7+U7</f>
        <v/>
      </c>
      <c r="W7" s="9" t="inlineStr"/>
      <c r="X7" s="9" t="n"/>
      <c r="Y7" s="9" t="inlineStr"/>
      <c r="Z7" s="9" t="inlineStr"/>
      <c r="AA7" s="9" t="n">
        <v>1125207000</v>
      </c>
      <c r="AB7" s="9" t="inlineStr">
        <is>
          <t>2026-07-16</t>
        </is>
      </c>
      <c r="AC7" s="9" t="n">
        <v>3038058900</v>
      </c>
      <c r="AD7" s="9" t="inlineStr">
        <is>
          <t>2026-09-15</t>
        </is>
      </c>
      <c r="AE7" s="9">
        <f>(AA7+AC7)/F7</f>
        <v/>
      </c>
    </row>
    <row r="10">
      <c r="A10" s="10" t="inlineStr">
        <is>
          <t>NOTE</t>
        </is>
      </c>
    </row>
    <row r="11">
      <c r="A11" s="11" t="inlineStr">
        <is>
          <t>1. PIB = BM 5% + PPN 11% + PPh22 7.5% (CIF 기준, 세율은 HS코드별 마스터) · Kurs PIB = 통관일 KMK 환율</t>
        </is>
      </c>
    </row>
    <row r="12">
      <c r="A12" s="11" t="inlineStr">
        <is>
          <t>2. APIU(직수입) 행은 PIB/PLB/Due USD, APIP(Hirundo) 행은 DP/BP 열 사용</t>
        </is>
      </c>
    </row>
    <row r="13">
      <c r="A13" s="11" t="inlineStr">
        <is>
          <t>3. Landed Cost/pc = (CIF IDR + 관세·세금 또는 Hirundo 매입가) ÷ Qty</t>
        </is>
      </c>
    </row>
  </sheetData>
  <autoFilter ref="A5:A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2026-10-28T02:54:44Z</dcterms:created>
  <dcterms:modified xmlns:dcterms="http://purl.org/dc/terms/" xmlns:xsi="http://www.w3.org/2001/XMLSchema-instance" xsi:type="dcterms:W3CDTF">2026-10-28T02:54:44Z</dcterms:modified>
</cp:coreProperties>
</file>